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uno\Desktop\coco\"/>
    </mc:Choice>
  </mc:AlternateContent>
  <xr:revisionPtr revIDLastSave="0" documentId="13_ncr:1_{B4192502-A326-43CD-8DE1-03084CBCE4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Dados de Venda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1" i="2" l="1"/>
  <c r="H151" i="2"/>
  <c r="J151" i="2" s="1"/>
  <c r="I150" i="2"/>
  <c r="H150" i="2"/>
  <c r="J150" i="2" s="1"/>
  <c r="I149" i="2"/>
  <c r="H149" i="2"/>
  <c r="J149" i="2" s="1"/>
  <c r="I148" i="2"/>
  <c r="H148" i="2"/>
  <c r="J148" i="2" s="1"/>
  <c r="I147" i="2"/>
  <c r="H147" i="2"/>
  <c r="J147" i="2" s="1"/>
  <c r="I146" i="2"/>
  <c r="H146" i="2"/>
  <c r="J146" i="2" s="1"/>
  <c r="I145" i="2"/>
  <c r="H145" i="2"/>
  <c r="J145" i="2" s="1"/>
  <c r="J144" i="2"/>
  <c r="I144" i="2"/>
  <c r="H144" i="2"/>
  <c r="I143" i="2"/>
  <c r="H143" i="2"/>
  <c r="J143" i="2" s="1"/>
  <c r="I142" i="2"/>
  <c r="H142" i="2"/>
  <c r="J142" i="2" s="1"/>
  <c r="I141" i="2"/>
  <c r="H141" i="2"/>
  <c r="J141" i="2" s="1"/>
  <c r="J140" i="2"/>
  <c r="I140" i="2"/>
  <c r="H140" i="2"/>
  <c r="I139" i="2"/>
  <c r="H139" i="2"/>
  <c r="J139" i="2" s="1"/>
  <c r="I138" i="2"/>
  <c r="H138" i="2"/>
  <c r="J138" i="2" s="1"/>
  <c r="I137" i="2"/>
  <c r="H137" i="2"/>
  <c r="J137" i="2" s="1"/>
  <c r="J136" i="2"/>
  <c r="I136" i="2"/>
  <c r="H136" i="2"/>
  <c r="I135" i="2"/>
  <c r="H135" i="2"/>
  <c r="J135" i="2" s="1"/>
  <c r="I134" i="2"/>
  <c r="H134" i="2"/>
  <c r="J134" i="2" s="1"/>
  <c r="I133" i="2"/>
  <c r="H133" i="2"/>
  <c r="J133" i="2" s="1"/>
  <c r="J132" i="2"/>
  <c r="I132" i="2"/>
  <c r="H132" i="2"/>
  <c r="I131" i="2"/>
  <c r="H131" i="2"/>
  <c r="J131" i="2" s="1"/>
  <c r="I130" i="2"/>
  <c r="H130" i="2"/>
  <c r="J130" i="2" s="1"/>
  <c r="I129" i="2"/>
  <c r="H129" i="2"/>
  <c r="J129" i="2" s="1"/>
  <c r="J128" i="2"/>
  <c r="I128" i="2"/>
  <c r="H128" i="2"/>
  <c r="I127" i="2"/>
  <c r="H127" i="2"/>
  <c r="J127" i="2" s="1"/>
  <c r="I126" i="2"/>
  <c r="H126" i="2"/>
  <c r="J126" i="2" s="1"/>
  <c r="I125" i="2"/>
  <c r="H125" i="2"/>
  <c r="J125" i="2" s="1"/>
  <c r="J124" i="2"/>
  <c r="I124" i="2"/>
  <c r="H124" i="2"/>
  <c r="I123" i="2"/>
  <c r="H123" i="2"/>
  <c r="J123" i="2" s="1"/>
  <c r="I122" i="2"/>
  <c r="H122" i="2"/>
  <c r="J122" i="2" s="1"/>
  <c r="I121" i="2"/>
  <c r="H121" i="2"/>
  <c r="J121" i="2" s="1"/>
  <c r="J120" i="2"/>
  <c r="I120" i="2"/>
  <c r="H120" i="2"/>
  <c r="I119" i="2"/>
  <c r="H119" i="2"/>
  <c r="J119" i="2" s="1"/>
  <c r="I118" i="2"/>
  <c r="H118" i="2"/>
  <c r="J118" i="2" s="1"/>
  <c r="I117" i="2"/>
  <c r="H117" i="2"/>
  <c r="J117" i="2" s="1"/>
  <c r="J116" i="2"/>
  <c r="I116" i="2"/>
  <c r="H116" i="2"/>
  <c r="I115" i="2"/>
  <c r="H115" i="2"/>
  <c r="J115" i="2" s="1"/>
  <c r="I114" i="2"/>
  <c r="H114" i="2"/>
  <c r="J114" i="2" s="1"/>
  <c r="I113" i="2"/>
  <c r="H113" i="2"/>
  <c r="J113" i="2" s="1"/>
  <c r="J112" i="2"/>
  <c r="I112" i="2"/>
  <c r="H112" i="2"/>
  <c r="I111" i="2"/>
  <c r="H111" i="2"/>
  <c r="J111" i="2" s="1"/>
  <c r="I110" i="2"/>
  <c r="H110" i="2"/>
  <c r="J110" i="2" s="1"/>
  <c r="I109" i="2"/>
  <c r="H109" i="2"/>
  <c r="J109" i="2" s="1"/>
  <c r="J108" i="2"/>
  <c r="I108" i="2"/>
  <c r="H108" i="2"/>
  <c r="I107" i="2"/>
  <c r="H107" i="2"/>
  <c r="J107" i="2" s="1"/>
  <c r="I106" i="2"/>
  <c r="H106" i="2"/>
  <c r="J106" i="2" s="1"/>
  <c r="I105" i="2"/>
  <c r="H105" i="2"/>
  <c r="J105" i="2" s="1"/>
  <c r="J104" i="2"/>
  <c r="I104" i="2"/>
  <c r="H104" i="2"/>
  <c r="I103" i="2"/>
  <c r="H103" i="2"/>
  <c r="J103" i="2" s="1"/>
  <c r="I102" i="2"/>
  <c r="H102" i="2"/>
  <c r="J102" i="2" s="1"/>
  <c r="I101" i="2"/>
  <c r="H101" i="2"/>
  <c r="J101" i="2" s="1"/>
  <c r="J100" i="2"/>
  <c r="I100" i="2"/>
  <c r="H100" i="2"/>
  <c r="I99" i="2"/>
  <c r="H99" i="2"/>
  <c r="J99" i="2" s="1"/>
  <c r="I98" i="2"/>
  <c r="H98" i="2"/>
  <c r="J98" i="2" s="1"/>
  <c r="I97" i="2"/>
  <c r="H97" i="2"/>
  <c r="J97" i="2" s="1"/>
  <c r="J96" i="2"/>
  <c r="I96" i="2"/>
  <c r="H96" i="2"/>
  <c r="I95" i="2"/>
  <c r="H95" i="2"/>
  <c r="J95" i="2" s="1"/>
  <c r="I94" i="2"/>
  <c r="H94" i="2"/>
  <c r="J94" i="2" s="1"/>
  <c r="I93" i="2"/>
  <c r="H93" i="2"/>
  <c r="J93" i="2" s="1"/>
  <c r="J92" i="2"/>
  <c r="I92" i="2"/>
  <c r="H92" i="2"/>
  <c r="I91" i="2"/>
  <c r="H91" i="2"/>
  <c r="J91" i="2" s="1"/>
  <c r="I90" i="2"/>
  <c r="H90" i="2"/>
  <c r="J90" i="2" s="1"/>
  <c r="I89" i="2"/>
  <c r="H89" i="2"/>
  <c r="J89" i="2" s="1"/>
  <c r="J88" i="2"/>
  <c r="I88" i="2"/>
  <c r="H88" i="2"/>
  <c r="I87" i="2"/>
  <c r="H87" i="2"/>
  <c r="J87" i="2" s="1"/>
  <c r="I86" i="2"/>
  <c r="H86" i="2"/>
  <c r="J86" i="2" s="1"/>
  <c r="I85" i="2"/>
  <c r="H85" i="2"/>
  <c r="J85" i="2" s="1"/>
  <c r="J84" i="2"/>
  <c r="I84" i="2"/>
  <c r="H84" i="2"/>
  <c r="I83" i="2"/>
  <c r="H83" i="2"/>
  <c r="J83" i="2" s="1"/>
  <c r="I82" i="2"/>
  <c r="H82" i="2"/>
  <c r="J82" i="2" s="1"/>
  <c r="I81" i="2"/>
  <c r="H81" i="2"/>
  <c r="J81" i="2" s="1"/>
  <c r="J80" i="2"/>
  <c r="I80" i="2"/>
  <c r="H80" i="2"/>
  <c r="I79" i="2"/>
  <c r="H79" i="2"/>
  <c r="J79" i="2" s="1"/>
  <c r="I78" i="2"/>
  <c r="H78" i="2"/>
  <c r="J78" i="2" s="1"/>
  <c r="I77" i="2"/>
  <c r="H77" i="2"/>
  <c r="J77" i="2" s="1"/>
  <c r="J76" i="2"/>
  <c r="I76" i="2"/>
  <c r="H76" i="2"/>
  <c r="I75" i="2"/>
  <c r="H75" i="2"/>
  <c r="J75" i="2" s="1"/>
  <c r="I74" i="2"/>
  <c r="H74" i="2"/>
  <c r="J74" i="2" s="1"/>
  <c r="I73" i="2"/>
  <c r="H73" i="2"/>
  <c r="J73" i="2" s="1"/>
  <c r="J72" i="2"/>
  <c r="I72" i="2"/>
  <c r="H72" i="2"/>
  <c r="I71" i="2"/>
  <c r="H71" i="2"/>
  <c r="J71" i="2" s="1"/>
  <c r="I70" i="2"/>
  <c r="H70" i="2"/>
  <c r="J70" i="2" s="1"/>
  <c r="I69" i="2"/>
  <c r="H69" i="2"/>
  <c r="J69" i="2" s="1"/>
  <c r="J68" i="2"/>
  <c r="I68" i="2"/>
  <c r="H68" i="2"/>
  <c r="I67" i="2"/>
  <c r="H67" i="2"/>
  <c r="J67" i="2" s="1"/>
  <c r="I66" i="2"/>
  <c r="H66" i="2"/>
  <c r="J66" i="2" s="1"/>
  <c r="I65" i="2"/>
  <c r="H65" i="2"/>
  <c r="J65" i="2" s="1"/>
  <c r="J64" i="2"/>
  <c r="I64" i="2"/>
  <c r="H64" i="2"/>
  <c r="I63" i="2"/>
  <c r="H63" i="2"/>
  <c r="J63" i="2" s="1"/>
  <c r="I62" i="2"/>
  <c r="H62" i="2"/>
  <c r="J62" i="2" s="1"/>
  <c r="I61" i="2"/>
  <c r="H61" i="2"/>
  <c r="J61" i="2" s="1"/>
  <c r="J60" i="2"/>
  <c r="I60" i="2"/>
  <c r="H60" i="2"/>
  <c r="I59" i="2"/>
  <c r="H59" i="2"/>
  <c r="J59" i="2" s="1"/>
  <c r="I58" i="2"/>
  <c r="H58" i="2"/>
  <c r="J58" i="2" s="1"/>
  <c r="I57" i="2"/>
  <c r="H57" i="2"/>
  <c r="J57" i="2" s="1"/>
  <c r="J56" i="2"/>
  <c r="I56" i="2"/>
  <c r="H56" i="2"/>
  <c r="I55" i="2"/>
  <c r="H55" i="2"/>
  <c r="J55" i="2" s="1"/>
  <c r="I54" i="2"/>
  <c r="H54" i="2"/>
  <c r="J54" i="2" s="1"/>
  <c r="I53" i="2"/>
  <c r="H53" i="2"/>
  <c r="J53" i="2" s="1"/>
  <c r="J52" i="2"/>
  <c r="I52" i="2"/>
  <c r="H52" i="2"/>
  <c r="I51" i="2"/>
  <c r="H51" i="2"/>
  <c r="J51" i="2" s="1"/>
  <c r="I50" i="2"/>
  <c r="H50" i="2"/>
  <c r="J50" i="2" s="1"/>
  <c r="I49" i="2"/>
  <c r="H49" i="2"/>
  <c r="J49" i="2" s="1"/>
  <c r="J48" i="2"/>
  <c r="I48" i="2"/>
  <c r="H48" i="2"/>
  <c r="I47" i="2"/>
  <c r="H47" i="2"/>
  <c r="J47" i="2" s="1"/>
  <c r="I46" i="2"/>
  <c r="H46" i="2"/>
  <c r="J46" i="2" s="1"/>
  <c r="I45" i="2"/>
  <c r="H45" i="2"/>
  <c r="J45" i="2" s="1"/>
  <c r="J44" i="2"/>
  <c r="I44" i="2"/>
  <c r="H44" i="2"/>
  <c r="I43" i="2"/>
  <c r="H43" i="2"/>
  <c r="J43" i="2" s="1"/>
  <c r="I42" i="2"/>
  <c r="H42" i="2"/>
  <c r="J42" i="2" s="1"/>
  <c r="I41" i="2"/>
  <c r="H41" i="2"/>
  <c r="J41" i="2" s="1"/>
  <c r="J40" i="2"/>
  <c r="I40" i="2"/>
  <c r="H40" i="2"/>
  <c r="I39" i="2"/>
  <c r="H39" i="2"/>
  <c r="J39" i="2" s="1"/>
  <c r="I38" i="2"/>
  <c r="H38" i="2"/>
  <c r="J38" i="2" s="1"/>
  <c r="I37" i="2"/>
  <c r="H37" i="2"/>
  <c r="J37" i="2" s="1"/>
  <c r="J36" i="2"/>
  <c r="I36" i="2"/>
  <c r="H36" i="2"/>
  <c r="I35" i="2"/>
  <c r="H35" i="2"/>
  <c r="J35" i="2" s="1"/>
  <c r="I34" i="2"/>
  <c r="H34" i="2"/>
  <c r="J34" i="2" s="1"/>
  <c r="I33" i="2"/>
  <c r="H33" i="2"/>
  <c r="J33" i="2" s="1"/>
  <c r="J32" i="2"/>
  <c r="I32" i="2"/>
  <c r="H32" i="2"/>
  <c r="I31" i="2"/>
  <c r="H31" i="2"/>
  <c r="J31" i="2" s="1"/>
  <c r="I30" i="2"/>
  <c r="H30" i="2"/>
  <c r="J30" i="2" s="1"/>
  <c r="I29" i="2"/>
  <c r="H29" i="2"/>
  <c r="J29" i="2" s="1"/>
  <c r="J28" i="2"/>
  <c r="I28" i="2"/>
  <c r="H28" i="2"/>
  <c r="I27" i="2"/>
  <c r="H27" i="2"/>
  <c r="J27" i="2" s="1"/>
  <c r="I26" i="2"/>
  <c r="H26" i="2"/>
  <c r="J26" i="2" s="1"/>
  <c r="I25" i="2"/>
  <c r="H25" i="2"/>
  <c r="J25" i="2" s="1"/>
  <c r="J24" i="2"/>
  <c r="I24" i="2"/>
  <c r="H24" i="2"/>
  <c r="I23" i="2"/>
  <c r="H23" i="2"/>
  <c r="J23" i="2" s="1"/>
  <c r="I22" i="2"/>
  <c r="H22" i="2"/>
  <c r="J22" i="2" s="1"/>
  <c r="I21" i="2"/>
  <c r="H21" i="2"/>
  <c r="J21" i="2" s="1"/>
  <c r="J20" i="2"/>
  <c r="I20" i="2"/>
  <c r="H20" i="2"/>
  <c r="I19" i="2"/>
  <c r="H19" i="2"/>
  <c r="J19" i="2" s="1"/>
  <c r="I18" i="2"/>
  <c r="H18" i="2"/>
  <c r="J18" i="2" s="1"/>
  <c r="I17" i="2"/>
  <c r="H17" i="2"/>
  <c r="J17" i="2" s="1"/>
  <c r="J16" i="2"/>
  <c r="I16" i="2"/>
  <c r="H16" i="2"/>
  <c r="I15" i="2"/>
  <c r="H15" i="2"/>
  <c r="J15" i="2" s="1"/>
  <c r="I14" i="2"/>
  <c r="H14" i="2"/>
  <c r="J14" i="2" s="1"/>
  <c r="I13" i="2"/>
  <c r="H13" i="2"/>
  <c r="J13" i="2" s="1"/>
  <c r="J12" i="2"/>
  <c r="I12" i="2"/>
  <c r="H12" i="2"/>
  <c r="I11" i="2"/>
  <c r="H11" i="2"/>
  <c r="J11" i="2" s="1"/>
  <c r="I10" i="2"/>
  <c r="H10" i="2"/>
  <c r="J10" i="2" s="1"/>
  <c r="I9" i="2"/>
  <c r="H9" i="2"/>
  <c r="J9" i="2" s="1"/>
  <c r="J8" i="2"/>
  <c r="I8" i="2"/>
  <c r="H8" i="2"/>
  <c r="I7" i="2"/>
  <c r="H7" i="2"/>
  <c r="J7" i="2" s="1"/>
  <c r="I6" i="2"/>
  <c r="H6" i="2"/>
  <c r="J6" i="2" s="1"/>
  <c r="I5" i="2"/>
  <c r="H5" i="2"/>
  <c r="J5" i="2" s="1"/>
  <c r="J4" i="2"/>
  <c r="I4" i="2"/>
  <c r="H4" i="2"/>
  <c r="I3" i="2"/>
  <c r="H3" i="2"/>
  <c r="J3" i="2" s="1"/>
  <c r="I2" i="2"/>
  <c r="H2" i="2"/>
  <c r="J2" i="2" s="1"/>
  <c r="H5" i="1" s="1"/>
  <c r="F15" i="1"/>
  <c r="F14" i="1"/>
  <c r="F13" i="1"/>
  <c r="C13" i="1"/>
  <c r="F12" i="1"/>
  <c r="C12" i="1"/>
  <c r="F11" i="1"/>
  <c r="C11" i="1"/>
  <c r="F10" i="1"/>
  <c r="C10" i="1"/>
  <c r="C14" i="1" s="1"/>
  <c r="E5" i="1"/>
  <c r="B5" i="1"/>
</calcChain>
</file>

<file path=xl/sharedStrings.xml><?xml version="1.0" encoding="utf-8"?>
<sst xmlns="http://schemas.openxmlformats.org/spreadsheetml/2006/main" count="631" uniqueCount="182">
  <si>
    <t xml:space="preserve">  DASHBOARD DE VENDAS - DISTRIBUIÇÃO DE VENTILADORES</t>
  </si>
  <si>
    <t>FATURAMENTO TOTAL</t>
  </si>
  <si>
    <t>TOTAL UNIDADES VENDIDAS</t>
  </si>
  <si>
    <t>LUCRO LÍQUIDO TOTAL</t>
  </si>
  <si>
    <t>Faturamento por Canal</t>
  </si>
  <si>
    <t>Faturamento por Região</t>
  </si>
  <si>
    <t>Canal</t>
  </si>
  <si>
    <t>Faturamento</t>
  </si>
  <si>
    <t>Região</t>
  </si>
  <si>
    <t>E-commerce</t>
  </si>
  <si>
    <t>Sudeste</t>
  </si>
  <si>
    <t>Lojas Físicas</t>
  </si>
  <si>
    <t>Nordeste</t>
  </si>
  <si>
    <t>Marketplace</t>
  </si>
  <si>
    <t>Sul</t>
  </si>
  <si>
    <t>Televendas</t>
  </si>
  <si>
    <t>Centro-Oeste</t>
  </si>
  <si>
    <t>Total</t>
  </si>
  <si>
    <t>Norte</t>
  </si>
  <si>
    <t>Data</t>
  </si>
  <si>
    <t>Canal de Venda</t>
  </si>
  <si>
    <t>Modelo de Ventilador</t>
  </si>
  <si>
    <t>Preço Unitário</t>
  </si>
  <si>
    <t>Quantidade</t>
  </si>
  <si>
    <t>Custo do Produto</t>
  </si>
  <si>
    <t>Margem Lucro</t>
  </si>
  <si>
    <t>REQ0002</t>
  </si>
  <si>
    <t>Ventilador de Teto Moderno</t>
  </si>
  <si>
    <t>REQ0003</t>
  </si>
  <si>
    <t>Mini Ventilador USB</t>
  </si>
  <si>
    <t>REQ0004</t>
  </si>
  <si>
    <t>Ventilador de Mesa 30cm</t>
  </si>
  <si>
    <t>REQ0005</t>
  </si>
  <si>
    <t>REQ0006</t>
  </si>
  <si>
    <t>Circulador de Ar Turbo</t>
  </si>
  <si>
    <t>REQ0007</t>
  </si>
  <si>
    <t>Ventilador de Coluna 40cm</t>
  </si>
  <si>
    <t>REQ0008</t>
  </si>
  <si>
    <t>REQ0009</t>
  </si>
  <si>
    <t>REQ0010</t>
  </si>
  <si>
    <t>REQ0011</t>
  </si>
  <si>
    <t>REQ0012</t>
  </si>
  <si>
    <t>REQ0013</t>
  </si>
  <si>
    <t>REQ0014</t>
  </si>
  <si>
    <t>REQ0015</t>
  </si>
  <si>
    <t>REQ0016</t>
  </si>
  <si>
    <t>REQ0017</t>
  </si>
  <si>
    <t>REQ0018</t>
  </si>
  <si>
    <t>REQ0019</t>
  </si>
  <si>
    <t>REQ0020</t>
  </si>
  <si>
    <t>REQ0021</t>
  </si>
  <si>
    <t>REQ0022</t>
  </si>
  <si>
    <t>REQ0023</t>
  </si>
  <si>
    <t>REQ0024</t>
  </si>
  <si>
    <t>REQ0025</t>
  </si>
  <si>
    <t>REQ0026</t>
  </si>
  <si>
    <t>REQ0027</t>
  </si>
  <si>
    <t>REQ0028</t>
  </si>
  <si>
    <t>REQ0029</t>
  </si>
  <si>
    <t>REQ0030</t>
  </si>
  <si>
    <t>REQ0031</t>
  </si>
  <si>
    <t>REQ0032</t>
  </si>
  <si>
    <t>REQ0033</t>
  </si>
  <si>
    <t>REQ0034</t>
  </si>
  <si>
    <t>REQ0035</t>
  </si>
  <si>
    <t>REQ0036</t>
  </si>
  <si>
    <t>REQ0037</t>
  </si>
  <si>
    <t>REQ0038</t>
  </si>
  <si>
    <t>REQ0039</t>
  </si>
  <si>
    <t>REQ0040</t>
  </si>
  <si>
    <t>REQ0041</t>
  </si>
  <si>
    <t>REQ0042</t>
  </si>
  <si>
    <t>REQ0043</t>
  </si>
  <si>
    <t>REQ0044</t>
  </si>
  <si>
    <t>REQ0045</t>
  </si>
  <si>
    <t>REQ0046</t>
  </si>
  <si>
    <t>REQ0047</t>
  </si>
  <si>
    <t>REQ0048</t>
  </si>
  <si>
    <t>REQ0049</t>
  </si>
  <si>
    <t>REQ0050</t>
  </si>
  <si>
    <t>REQ0051</t>
  </si>
  <si>
    <t>REQ0052</t>
  </si>
  <si>
    <t>REQ0053</t>
  </si>
  <si>
    <t>REQ0054</t>
  </si>
  <si>
    <t>REQ0055</t>
  </si>
  <si>
    <t>REQ0056</t>
  </si>
  <si>
    <t>REQ0057</t>
  </si>
  <si>
    <t>REQ0058</t>
  </si>
  <si>
    <t>REQ0059</t>
  </si>
  <si>
    <t>REQ0060</t>
  </si>
  <si>
    <t>REQ0061</t>
  </si>
  <si>
    <t>REQ0062</t>
  </si>
  <si>
    <t>REQ0063</t>
  </si>
  <si>
    <t>REQ0064</t>
  </si>
  <si>
    <t>REQ0065</t>
  </si>
  <si>
    <t>REQ0066</t>
  </si>
  <si>
    <t>REQ0067</t>
  </si>
  <si>
    <t>REQ0068</t>
  </si>
  <si>
    <t>REQ0069</t>
  </si>
  <si>
    <t>REQ0070</t>
  </si>
  <si>
    <t>REQ0071</t>
  </si>
  <si>
    <t>REQ0072</t>
  </si>
  <si>
    <t>REQ0073</t>
  </si>
  <si>
    <t>REQ0074</t>
  </si>
  <si>
    <t>REQ0075</t>
  </si>
  <si>
    <t>REQ0076</t>
  </si>
  <si>
    <t>REQ0077</t>
  </si>
  <si>
    <t>REQ0078</t>
  </si>
  <si>
    <t>REQ0079</t>
  </si>
  <si>
    <t>REQ0080</t>
  </si>
  <si>
    <t>REQ0081</t>
  </si>
  <si>
    <t>REQ0082</t>
  </si>
  <si>
    <t>REQ0083</t>
  </si>
  <si>
    <t>REQ0084</t>
  </si>
  <si>
    <t>REQ0085</t>
  </si>
  <si>
    <t>REQ0086</t>
  </si>
  <si>
    <t>REQ0087</t>
  </si>
  <si>
    <t>REQ0088</t>
  </si>
  <si>
    <t>REQ0089</t>
  </si>
  <si>
    <t>REQ0090</t>
  </si>
  <si>
    <t>REQ0091</t>
  </si>
  <si>
    <t>REQ0092</t>
  </si>
  <si>
    <t>REQ0093</t>
  </si>
  <si>
    <t>REQ0094</t>
  </si>
  <si>
    <t>REQ0095</t>
  </si>
  <si>
    <t>REQ0096</t>
  </si>
  <si>
    <t>REQ0097</t>
  </si>
  <si>
    <t>REQ0098</t>
  </si>
  <si>
    <t>REQ0099</t>
  </si>
  <si>
    <t>REQ0100</t>
  </si>
  <si>
    <t>REQ0101</t>
  </si>
  <si>
    <t>REQ0102</t>
  </si>
  <si>
    <t>REQ0103</t>
  </si>
  <si>
    <t>REQ0104</t>
  </si>
  <si>
    <t>REQ0105</t>
  </si>
  <si>
    <t>REQ0106</t>
  </si>
  <si>
    <t>REQ0107</t>
  </si>
  <si>
    <t>REQ0108</t>
  </si>
  <si>
    <t>REQ0109</t>
  </si>
  <si>
    <t>REQ0110</t>
  </si>
  <si>
    <t>REQ0111</t>
  </si>
  <si>
    <t>REQ0112</t>
  </si>
  <si>
    <t>REQ0113</t>
  </si>
  <si>
    <t>REQ0114</t>
  </si>
  <si>
    <t>REQ0115</t>
  </si>
  <si>
    <t>REQ0116</t>
  </si>
  <si>
    <t>REQ0117</t>
  </si>
  <si>
    <t>REQ0118</t>
  </si>
  <si>
    <t>REQ0119</t>
  </si>
  <si>
    <t>REQ0120</t>
  </si>
  <si>
    <t>REQ0121</t>
  </si>
  <si>
    <t>REQ0122</t>
  </si>
  <si>
    <t>REQ0123</t>
  </si>
  <si>
    <t>REQ0124</t>
  </si>
  <si>
    <t>REQ0125</t>
  </si>
  <si>
    <t>REQ0126</t>
  </si>
  <si>
    <t>REQ0127</t>
  </si>
  <si>
    <t>REQ0128</t>
  </si>
  <si>
    <t>REQ0129</t>
  </si>
  <si>
    <t>REQ0130</t>
  </si>
  <si>
    <t>REQ0131</t>
  </si>
  <si>
    <t>REQ0132</t>
  </si>
  <si>
    <t>REQ0133</t>
  </si>
  <si>
    <t>REQ0134</t>
  </si>
  <si>
    <t>REQ0135</t>
  </si>
  <si>
    <t>REQ0136</t>
  </si>
  <si>
    <t>REQ0137</t>
  </si>
  <si>
    <t>REQ0138</t>
  </si>
  <si>
    <t>REQ0139</t>
  </si>
  <si>
    <t>REQ0140</t>
  </si>
  <si>
    <t>REQ0141</t>
  </si>
  <si>
    <t>REQ0142</t>
  </si>
  <si>
    <t>REQ0143</t>
  </si>
  <si>
    <t>REQ0144</t>
  </si>
  <si>
    <t>REQ0145</t>
  </si>
  <si>
    <t>REQ0146</t>
  </si>
  <si>
    <t>REQ0147</t>
  </si>
  <si>
    <t>REQ0148</t>
  </si>
  <si>
    <t>REQ0149</t>
  </si>
  <si>
    <t>REQ0150</t>
  </si>
  <si>
    <t>REQ0151</t>
  </si>
  <si>
    <t>IDPedido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</si>
</sst>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R\$\ #,##0.0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1"/>
      <color rgb="FF000000"/>
      <name val="Segoe UI"/>
    </font>
    <font>
      <b/>
      <sz val="18"/>
      <color rgb="FFFFFFFF"/>
      <name val="Segoe UI"/>
    </font>
    <font>
      <b/>
      <sz val="9"/>
      <color rgb="FFFFFFFF"/>
      <name val="Segoe UI"/>
    </font>
    <font>
      <b/>
      <sz val="18"/>
      <color rgb="FF1F4E5B"/>
      <name val="Segoe UI"/>
    </font>
    <font>
      <b/>
      <sz val="12"/>
      <color rgb="FF1F4E5B"/>
      <name val="Segoe UI"/>
    </font>
    <font>
      <b/>
      <sz val="11"/>
      <color rgb="FF00000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5B"/>
        <bgColor rgb="FF1F4E5B"/>
      </patternFill>
    </fill>
    <fill>
      <patternFill patternType="solid">
        <fgColor rgb="FFF7FAFB"/>
        <bgColor rgb="FFF7FAFB"/>
      </patternFill>
    </fill>
    <fill>
      <patternFill patternType="solid">
        <fgColor rgb="FFFFFFFF"/>
        <bgColor rgb="FFFFFFFF"/>
      </patternFill>
    </fill>
    <fill>
      <patternFill patternType="solid">
        <fgColor rgb="FF2A6B7B"/>
        <bgColor rgb="FF2A6B7B"/>
      </patternFill>
    </fill>
    <fill>
      <patternFill patternType="solid">
        <fgColor rgb="FFE6F2F5"/>
        <bgColor rgb="FFE6F2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F4E5B"/>
      </top>
      <bottom style="double">
        <color rgb="FF1F4E5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0" borderId="0" xfId="0" applyFont="1"/>
    <xf numFmtId="0" fontId="1" fillId="2" borderId="0" xfId="0" applyFont="1" applyFill="1"/>
    <xf numFmtId="0" fontId="2" fillId="0" borderId="1" xfId="0" applyFont="1" applyBorder="1"/>
    <xf numFmtId="165" fontId="2" fillId="0" borderId="1" xfId="0" applyNumberFormat="1" applyFont="1" applyBorder="1"/>
    <xf numFmtId="0" fontId="7" fillId="0" borderId="2" xfId="0" applyFont="1" applyBorder="1"/>
    <xf numFmtId="165" fontId="7" fillId="0" borderId="2" xfId="0" applyNumberFormat="1" applyFont="1" applyBorder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165" fontId="2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/>
    <xf numFmtId="165" fontId="2" fillId="4" borderId="1" xfId="0" applyNumberFormat="1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  <xf numFmtId="165" fontId="5" fillId="6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0" borderId="0" xfId="0"/>
    <xf numFmtId="2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Participação por canal de venda: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Dashboard!$C$9</c:f>
              <c:strCache>
                <c:ptCount val="1"/>
                <c:pt idx="0">
                  <c:v>Faturamento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Dashboard!$B$10:$B$13</c:f>
              <c:strCache>
                <c:ptCount val="4"/>
                <c:pt idx="0">
                  <c:v>E-commerce</c:v>
                </c:pt>
                <c:pt idx="1">
                  <c:v>Lojas Físicas</c:v>
                </c:pt>
                <c:pt idx="2">
                  <c:v>Marketplace</c:v>
                </c:pt>
                <c:pt idx="3">
                  <c:v>Televendas</c:v>
                </c:pt>
              </c:strCache>
            </c:strRef>
          </c:cat>
          <c:val>
            <c:numRef>
              <c:f>Dashboard!$C$10:$C$13</c:f>
              <c:numCache>
                <c:formatCode>\R\$\ #,##0.00</c:formatCode>
                <c:ptCount val="4"/>
                <c:pt idx="0">
                  <c:v>40527.299999999996</c:v>
                </c:pt>
                <c:pt idx="1">
                  <c:v>65317.400000000016</c:v>
                </c:pt>
                <c:pt idx="2">
                  <c:v>81059.200000000012</c:v>
                </c:pt>
                <c:pt idx="3">
                  <c:v>50275.799999999996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B-49F3-9878-BBA338202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Desempenho por região</a:t>
            </a:r>
          </a:p>
        </c:rich>
      </c:tx>
      <c:layout>
        <c:manualLayout>
          <c:xMode val="edge"/>
          <c:yMode val="edge"/>
          <c:x val="0.33447927350427348"/>
          <c:y val="1.62820512820512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Dashboard!$F$9</c:f>
              <c:strCache>
                <c:ptCount val="1"/>
                <c:pt idx="0">
                  <c:v>Faturamento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flip="none" rotWithShape="1">
                <a:gsLst>
                  <a:gs pos="0">
                    <a:schemeClr val="accent1"/>
                  </a:gs>
                  <a:gs pos="75000">
                    <a:schemeClr val="accent1">
                      <a:lumMod val="60000"/>
                      <a:lumOff val="40000"/>
                    </a:schemeClr>
                  </a:gs>
                  <a:gs pos="51000">
                    <a:schemeClr val="accent1">
                      <a:alpha val="75000"/>
                    </a:schemeClr>
                  </a:gs>
                  <a:gs pos="100000">
                    <a:schemeClr val="accent1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gradFill flip="none" rotWithShape="1">
                <a:gsLst>
                  <a:gs pos="0">
                    <a:schemeClr val="accent2"/>
                  </a:gs>
                  <a:gs pos="75000">
                    <a:schemeClr val="accent2">
                      <a:lumMod val="60000"/>
                      <a:lumOff val="40000"/>
                    </a:schemeClr>
                  </a:gs>
                  <a:gs pos="51000">
                    <a:schemeClr val="accent2">
                      <a:alpha val="75000"/>
                    </a:schemeClr>
                  </a:gs>
                  <a:gs pos="100000">
                    <a:schemeClr val="accent2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gradFill flip="none" rotWithShape="1">
                <a:gsLst>
                  <a:gs pos="0">
                    <a:schemeClr val="accent3"/>
                  </a:gs>
                  <a:gs pos="75000">
                    <a:schemeClr val="accent3">
                      <a:lumMod val="60000"/>
                      <a:lumOff val="40000"/>
                    </a:schemeClr>
                  </a:gs>
                  <a:gs pos="51000">
                    <a:schemeClr val="accent3">
                      <a:alpha val="75000"/>
                    </a:schemeClr>
                  </a:gs>
                  <a:gs pos="100000">
                    <a:schemeClr val="accent3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gradFill flip="none" rotWithShape="1">
                <a:gsLst>
                  <a:gs pos="0">
                    <a:schemeClr val="accent4"/>
                  </a:gs>
                  <a:gs pos="75000">
                    <a:schemeClr val="accent4">
                      <a:lumMod val="60000"/>
                      <a:lumOff val="40000"/>
                    </a:schemeClr>
                  </a:gs>
                  <a:gs pos="51000">
                    <a:schemeClr val="accent4">
                      <a:alpha val="75000"/>
                    </a:schemeClr>
                  </a:gs>
                  <a:gs pos="100000">
                    <a:schemeClr val="accent4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gradFill flip="none" rotWithShape="1">
                <a:gsLst>
                  <a:gs pos="0">
                    <a:schemeClr val="accent5"/>
                  </a:gs>
                  <a:gs pos="75000">
                    <a:schemeClr val="accent5">
                      <a:lumMod val="60000"/>
                      <a:lumOff val="40000"/>
                    </a:schemeClr>
                  </a:gs>
                  <a:gs pos="51000">
                    <a:schemeClr val="accent5">
                      <a:alpha val="75000"/>
                    </a:schemeClr>
                  </a:gs>
                  <a:gs pos="100000">
                    <a:schemeClr val="accent5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cat>
            <c:strRef>
              <c:f>Dashboard!$E$10:$E$14</c:f>
              <c:strCache>
                <c:ptCount val="5"/>
                <c:pt idx="0">
                  <c:v>Sudeste</c:v>
                </c:pt>
                <c:pt idx="1">
                  <c:v>Nordeste</c:v>
                </c:pt>
                <c:pt idx="2">
                  <c:v>Sul</c:v>
                </c:pt>
                <c:pt idx="3">
                  <c:v>Centro-Oeste</c:v>
                </c:pt>
                <c:pt idx="4">
                  <c:v>Norte</c:v>
                </c:pt>
              </c:strCache>
            </c:strRef>
          </c:cat>
          <c:val>
            <c:numRef>
              <c:f>Dashboard!$F$10:$F$14</c:f>
              <c:numCache>
                <c:formatCode>\R\$\ #,##0.00</c:formatCode>
                <c:ptCount val="5"/>
                <c:pt idx="0">
                  <c:v>33430.1</c:v>
                </c:pt>
                <c:pt idx="1">
                  <c:v>43828.000000000007</c:v>
                </c:pt>
                <c:pt idx="2">
                  <c:v>36482.400000000001</c:v>
                </c:pt>
                <c:pt idx="3">
                  <c:v>56570.799999999996</c:v>
                </c:pt>
                <c:pt idx="4">
                  <c:v>66868.400000000009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8-4C6F-B5C9-F06472F79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Faturamento (R$)</a:t>
                </a:r>
              </a:p>
            </c:rich>
          </c:tx>
          <c:layout>
            <c:manualLayout>
              <c:xMode val="edge"/>
              <c:yMode val="edge"/>
              <c:x val="0.13761343627251796"/>
              <c:y val="6.869316239316238E-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\R\$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1543050</xdr:colOff>
      <xdr:row>18</xdr:row>
      <xdr:rowOff>38100</xdr:rowOff>
    </xdr:from>
    <xdr:ext cx="3960000" cy="2571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1495425</xdr:colOff>
      <xdr:row>18</xdr:row>
      <xdr:rowOff>152400</xdr:rowOff>
    </xdr:from>
    <xdr:ext cx="5537250" cy="23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C8" sqref="C8"/>
    </sheetView>
  </sheetViews>
  <sheetFormatPr defaultRowHeight="15" x14ac:dyDescent="0.25"/>
  <cols>
    <col min="1" max="1" width="3" customWidth="1"/>
    <col min="2" max="2" width="35" customWidth="1"/>
    <col min="3" max="3" width="73" customWidth="1"/>
    <col min="4" max="4" width="4" customWidth="1"/>
    <col min="5" max="5" width="35" customWidth="1"/>
    <col min="6" max="6" width="73" customWidth="1"/>
    <col min="7" max="7" width="4" customWidth="1"/>
    <col min="8" max="8" width="35" customWidth="1"/>
    <col min="9" max="9" width="12" customWidth="1"/>
    <col min="10" max="10" width="0.140625" customWidth="1"/>
    <col min="11" max="11" width="12" hidden="1" customWidth="1"/>
  </cols>
  <sheetData>
    <row r="1" spans="1:1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4" spans="1:11" x14ac:dyDescent="0.25">
      <c r="B4" s="18" t="s">
        <v>1</v>
      </c>
      <c r="C4" s="19"/>
      <c r="E4" s="18" t="s">
        <v>2</v>
      </c>
      <c r="F4" s="19"/>
      <c r="H4" s="18" t="s">
        <v>3</v>
      </c>
      <c r="I4" s="19"/>
    </row>
    <row r="5" spans="1:11" ht="26.25" x14ac:dyDescent="0.25">
      <c r="B5" s="20">
        <f>SUM('Dados de Vendas'!H2:H151)</f>
        <v>237179.6999999999</v>
      </c>
      <c r="C5" s="19"/>
      <c r="E5" s="21">
        <f>SUM('Dados de Vendas'!G2:G151)</f>
        <v>1203</v>
      </c>
      <c r="F5" s="19"/>
      <c r="H5" s="20">
        <f>SUM('Dados de Vendas'!J2:J151)</f>
        <v>124146.7</v>
      </c>
      <c r="I5" s="19"/>
    </row>
    <row r="8" spans="1:11" ht="17.25" x14ac:dyDescent="0.3">
      <c r="B8" s="1" t="s">
        <v>4</v>
      </c>
      <c r="E8" s="1" t="s">
        <v>5</v>
      </c>
    </row>
    <row r="9" spans="1:11" ht="16.5" x14ac:dyDescent="0.3">
      <c r="B9" s="2" t="s">
        <v>6</v>
      </c>
      <c r="C9" s="2" t="s">
        <v>7</v>
      </c>
      <c r="E9" s="2" t="s">
        <v>8</v>
      </c>
      <c r="F9" s="2" t="s">
        <v>7</v>
      </c>
    </row>
    <row r="10" spans="1:11" ht="16.5" x14ac:dyDescent="0.3">
      <c r="B10" s="3" t="s">
        <v>9</v>
      </c>
      <c r="C10" s="4">
        <f>SUMIF('Dados de Vendas'!C$2:C$151, B10, 'Dados de Vendas'!H$2:H$151)</f>
        <v>40527.299999999996</v>
      </c>
      <c r="E10" s="3" t="s">
        <v>10</v>
      </c>
      <c r="F10" s="4">
        <f>SUMIF('Dados de Vendas'!D$2:D$151, E10, 'Dados de Vendas'!H$2:H$151)</f>
        <v>33430.1</v>
      </c>
    </row>
    <row r="11" spans="1:11" ht="16.5" x14ac:dyDescent="0.3">
      <c r="B11" s="3" t="s">
        <v>11</v>
      </c>
      <c r="C11" s="4">
        <f>SUMIF('Dados de Vendas'!C$2:C$151, B11, 'Dados de Vendas'!H$2:H$151)</f>
        <v>65317.400000000016</v>
      </c>
      <c r="E11" s="3" t="s">
        <v>12</v>
      </c>
      <c r="F11" s="4">
        <f>SUMIF('Dados de Vendas'!D$2:D$151, E11, 'Dados de Vendas'!H$2:H$151)</f>
        <v>43828.000000000007</v>
      </c>
    </row>
    <row r="12" spans="1:11" ht="16.5" x14ac:dyDescent="0.3">
      <c r="B12" s="3" t="s">
        <v>13</v>
      </c>
      <c r="C12" s="4">
        <f>SUMIF('Dados de Vendas'!C$2:C$151, B12, 'Dados de Vendas'!H$2:H$151)</f>
        <v>81059.200000000012</v>
      </c>
      <c r="E12" s="3" t="s">
        <v>14</v>
      </c>
      <c r="F12" s="4">
        <f>SUMIF('Dados de Vendas'!D$2:D$151, E12, 'Dados de Vendas'!H$2:H$151)</f>
        <v>36482.400000000001</v>
      </c>
    </row>
    <row r="13" spans="1:11" ht="16.5" x14ac:dyDescent="0.3">
      <c r="B13" s="3" t="s">
        <v>15</v>
      </c>
      <c r="C13" s="4">
        <f>SUMIF('Dados de Vendas'!C$2:C$151, B13, 'Dados de Vendas'!H$2:H$151)</f>
        <v>50275.799999999996</v>
      </c>
      <c r="E13" s="3" t="s">
        <v>16</v>
      </c>
      <c r="F13" s="4">
        <f>SUMIF('Dados de Vendas'!D$2:D$151, E13, 'Dados de Vendas'!H$2:H$151)</f>
        <v>56570.799999999996</v>
      </c>
    </row>
    <row r="14" spans="1:11" ht="16.5" x14ac:dyDescent="0.3">
      <c r="B14" s="5" t="s">
        <v>17</v>
      </c>
      <c r="C14" s="6">
        <f>SUM(C10:C13)</f>
        <v>237179.7</v>
      </c>
      <c r="E14" s="3" t="s">
        <v>18</v>
      </c>
      <c r="F14" s="4">
        <f>SUMIF('Dados de Vendas'!D$2:D$151, E14, 'Dados de Vendas'!H$2:H$151)</f>
        <v>66868.400000000009</v>
      </c>
    </row>
    <row r="15" spans="1:11" ht="16.5" x14ac:dyDescent="0.3">
      <c r="E15" s="5" t="s">
        <v>17</v>
      </c>
      <c r="F15" s="6">
        <f>SUM(F10:F14)</f>
        <v>237179.7</v>
      </c>
    </row>
  </sheetData>
  <mergeCells count="7">
    <mergeCell ref="A1:K2"/>
    <mergeCell ref="E4:F4"/>
    <mergeCell ref="B5:C5"/>
    <mergeCell ref="E5:F5"/>
    <mergeCell ref="H5:I5"/>
    <mergeCell ref="H4:I4"/>
    <mergeCell ref="B4:C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1"/>
  <sheetViews>
    <sheetView workbookViewId="0">
      <selection activeCell="I13" sqref="I13"/>
    </sheetView>
  </sheetViews>
  <sheetFormatPr defaultRowHeight="15" x14ac:dyDescent="0.25"/>
  <cols>
    <col min="1" max="1" width="13" customWidth="1"/>
    <col min="2" max="2" width="14" customWidth="1"/>
    <col min="3" max="3" width="18" customWidth="1"/>
    <col min="4" max="4" width="16" customWidth="1"/>
    <col min="5" max="5" width="30" customWidth="1"/>
    <col min="6" max="6" width="18" customWidth="1"/>
    <col min="7" max="7" width="14" customWidth="1"/>
    <col min="8" max="8" width="15" customWidth="1"/>
    <col min="9" max="9" width="20" customWidth="1"/>
    <col min="10" max="10" width="16" customWidth="1"/>
  </cols>
  <sheetData>
    <row r="1" spans="1:10" ht="16.5" x14ac:dyDescent="0.25">
      <c r="A1" s="7" t="s">
        <v>181</v>
      </c>
      <c r="B1" s="7" t="s">
        <v>19</v>
      </c>
      <c r="C1" s="7" t="s">
        <v>20</v>
      </c>
      <c r="D1" s="7" t="s">
        <v>8</v>
      </c>
      <c r="E1" s="7" t="s">
        <v>21</v>
      </c>
      <c r="F1" s="7" t="s">
        <v>22</v>
      </c>
      <c r="G1" s="24" t="s">
        <v>23</v>
      </c>
      <c r="H1" s="24" t="s">
        <v>7</v>
      </c>
      <c r="I1" s="24" t="s">
        <v>24</v>
      </c>
      <c r="J1" s="24" t="s">
        <v>25</v>
      </c>
    </row>
    <row r="2" spans="1:10" ht="16.5" x14ac:dyDescent="0.3">
      <c r="A2" s="8" t="s">
        <v>26</v>
      </c>
      <c r="B2" s="9">
        <v>45985</v>
      </c>
      <c r="C2" s="8" t="s">
        <v>9</v>
      </c>
      <c r="D2" s="8" t="s">
        <v>10</v>
      </c>
      <c r="E2" s="10" t="s">
        <v>27</v>
      </c>
      <c r="F2" s="11">
        <v>349.9</v>
      </c>
      <c r="G2" s="12">
        <v>4</v>
      </c>
      <c r="H2" s="11">
        <f t="shared" ref="H2:H33" si="0">F2*G2</f>
        <v>1399.6</v>
      </c>
      <c r="I2" s="11">
        <f>165*G2</f>
        <v>660</v>
      </c>
      <c r="J2" s="11">
        <f t="shared" ref="J2:J33" si="1">H2-I2</f>
        <v>739.59999999999991</v>
      </c>
    </row>
    <row r="3" spans="1:10" ht="16.5" x14ac:dyDescent="0.3">
      <c r="A3" s="13" t="s">
        <v>28</v>
      </c>
      <c r="B3" s="14">
        <v>45772</v>
      </c>
      <c r="C3" s="13" t="s">
        <v>11</v>
      </c>
      <c r="D3" s="13" t="s">
        <v>10</v>
      </c>
      <c r="E3" s="15" t="s">
        <v>29</v>
      </c>
      <c r="F3" s="16">
        <v>49.9</v>
      </c>
      <c r="G3" s="17">
        <v>2</v>
      </c>
      <c r="H3" s="16">
        <f t="shared" si="0"/>
        <v>99.8</v>
      </c>
      <c r="I3" s="16">
        <f>18*G3</f>
        <v>36</v>
      </c>
      <c r="J3" s="16">
        <f t="shared" si="1"/>
        <v>63.8</v>
      </c>
    </row>
    <row r="4" spans="1:10" ht="16.5" x14ac:dyDescent="0.3">
      <c r="A4" s="8" t="s">
        <v>30</v>
      </c>
      <c r="B4" s="9">
        <v>45960</v>
      </c>
      <c r="C4" s="8" t="s">
        <v>15</v>
      </c>
      <c r="D4" s="8" t="s">
        <v>10</v>
      </c>
      <c r="E4" s="10" t="s">
        <v>31</v>
      </c>
      <c r="F4" s="11">
        <v>149.9</v>
      </c>
      <c r="G4" s="12">
        <v>2</v>
      </c>
      <c r="H4" s="11">
        <f t="shared" si="0"/>
        <v>299.8</v>
      </c>
      <c r="I4" s="11">
        <f>75*G4</f>
        <v>150</v>
      </c>
      <c r="J4" s="11">
        <f t="shared" si="1"/>
        <v>149.80000000000001</v>
      </c>
    </row>
    <row r="5" spans="1:10" ht="16.5" x14ac:dyDescent="0.3">
      <c r="A5" s="13" t="s">
        <v>32</v>
      </c>
      <c r="B5" s="14">
        <v>45769</v>
      </c>
      <c r="C5" s="13" t="s">
        <v>11</v>
      </c>
      <c r="D5" s="13" t="s">
        <v>18</v>
      </c>
      <c r="E5" s="15" t="s">
        <v>29</v>
      </c>
      <c r="F5" s="16">
        <v>49.9</v>
      </c>
      <c r="G5" s="17">
        <v>1</v>
      </c>
      <c r="H5" s="16">
        <f t="shared" si="0"/>
        <v>49.9</v>
      </c>
      <c r="I5" s="16">
        <f>18*G5</f>
        <v>18</v>
      </c>
      <c r="J5" s="16">
        <f t="shared" si="1"/>
        <v>31.9</v>
      </c>
    </row>
    <row r="6" spans="1:10" ht="16.5" x14ac:dyDescent="0.3">
      <c r="A6" s="8" t="s">
        <v>33</v>
      </c>
      <c r="B6" s="9">
        <v>45945</v>
      </c>
      <c r="C6" s="8" t="s">
        <v>11</v>
      </c>
      <c r="D6" s="8" t="s">
        <v>18</v>
      </c>
      <c r="E6" s="10" t="s">
        <v>34</v>
      </c>
      <c r="F6" s="11">
        <v>249.9</v>
      </c>
      <c r="G6" s="12">
        <v>4</v>
      </c>
      <c r="H6" s="11">
        <f t="shared" si="0"/>
        <v>999.6</v>
      </c>
      <c r="I6" s="11">
        <f>120*G6</f>
        <v>480</v>
      </c>
      <c r="J6" s="11">
        <f t="shared" si="1"/>
        <v>519.6</v>
      </c>
    </row>
    <row r="7" spans="1:10" ht="16.5" x14ac:dyDescent="0.3">
      <c r="A7" s="13" t="s">
        <v>35</v>
      </c>
      <c r="B7" s="14">
        <v>45887</v>
      </c>
      <c r="C7" s="13" t="s">
        <v>13</v>
      </c>
      <c r="D7" s="13" t="s">
        <v>10</v>
      </c>
      <c r="E7" s="15" t="s">
        <v>36</v>
      </c>
      <c r="F7" s="16">
        <v>199.9</v>
      </c>
      <c r="G7" s="17">
        <v>12</v>
      </c>
      <c r="H7" s="16">
        <f t="shared" si="0"/>
        <v>2398.8000000000002</v>
      </c>
      <c r="I7" s="16">
        <f>98*G7</f>
        <v>1176</v>
      </c>
      <c r="J7" s="16">
        <f t="shared" si="1"/>
        <v>1222.8000000000002</v>
      </c>
    </row>
    <row r="8" spans="1:10" ht="16.5" x14ac:dyDescent="0.3">
      <c r="A8" s="8" t="s">
        <v>37</v>
      </c>
      <c r="B8" s="9">
        <v>45874</v>
      </c>
      <c r="C8" s="8" t="s">
        <v>13</v>
      </c>
      <c r="D8" s="8" t="s">
        <v>14</v>
      </c>
      <c r="E8" s="10" t="s">
        <v>36</v>
      </c>
      <c r="F8" s="11">
        <v>199.9</v>
      </c>
      <c r="G8" s="12">
        <v>4</v>
      </c>
      <c r="H8" s="11">
        <f t="shared" si="0"/>
        <v>799.6</v>
      </c>
      <c r="I8" s="11">
        <f>98*G8</f>
        <v>392</v>
      </c>
      <c r="J8" s="11">
        <f t="shared" si="1"/>
        <v>407.6</v>
      </c>
    </row>
    <row r="9" spans="1:10" ht="16.5" x14ac:dyDescent="0.3">
      <c r="A9" s="13" t="s">
        <v>38</v>
      </c>
      <c r="B9" s="14">
        <v>45830</v>
      </c>
      <c r="C9" s="13" t="s">
        <v>9</v>
      </c>
      <c r="D9" s="13" t="s">
        <v>10</v>
      </c>
      <c r="E9" s="15" t="s">
        <v>34</v>
      </c>
      <c r="F9" s="16">
        <v>249.9</v>
      </c>
      <c r="G9" s="17">
        <v>2</v>
      </c>
      <c r="H9" s="16">
        <f t="shared" si="0"/>
        <v>499.8</v>
      </c>
      <c r="I9" s="16">
        <f>120*G9</f>
        <v>240</v>
      </c>
      <c r="J9" s="16">
        <f t="shared" si="1"/>
        <v>259.8</v>
      </c>
    </row>
    <row r="10" spans="1:10" ht="16.5" x14ac:dyDescent="0.3">
      <c r="A10" s="8" t="s">
        <v>39</v>
      </c>
      <c r="B10" s="9">
        <v>45841</v>
      </c>
      <c r="C10" s="8" t="s">
        <v>13</v>
      </c>
      <c r="D10" s="8" t="s">
        <v>18</v>
      </c>
      <c r="E10" s="10" t="s">
        <v>27</v>
      </c>
      <c r="F10" s="11">
        <v>349.9</v>
      </c>
      <c r="G10" s="12">
        <v>13</v>
      </c>
      <c r="H10" s="11">
        <f t="shared" si="0"/>
        <v>4548.7</v>
      </c>
      <c r="I10" s="11">
        <f>165*G10</f>
        <v>2145</v>
      </c>
      <c r="J10" s="11">
        <f t="shared" si="1"/>
        <v>2403.6999999999998</v>
      </c>
    </row>
    <row r="11" spans="1:10" ht="16.5" x14ac:dyDescent="0.3">
      <c r="A11" s="13" t="s">
        <v>40</v>
      </c>
      <c r="B11" s="14">
        <v>45680</v>
      </c>
      <c r="C11" s="13" t="s">
        <v>15</v>
      </c>
      <c r="D11" s="13" t="s">
        <v>18</v>
      </c>
      <c r="E11" s="15" t="s">
        <v>31</v>
      </c>
      <c r="F11" s="16">
        <v>149.9</v>
      </c>
      <c r="G11" s="17">
        <v>15</v>
      </c>
      <c r="H11" s="16">
        <f t="shared" si="0"/>
        <v>2248.5</v>
      </c>
      <c r="I11" s="16">
        <f>75*G11</f>
        <v>1125</v>
      </c>
      <c r="J11" s="16">
        <f t="shared" si="1"/>
        <v>1123.5</v>
      </c>
    </row>
    <row r="12" spans="1:10" ht="16.5" x14ac:dyDescent="0.3">
      <c r="A12" s="8" t="s">
        <v>41</v>
      </c>
      <c r="B12" s="9">
        <v>45851</v>
      </c>
      <c r="C12" s="8" t="s">
        <v>9</v>
      </c>
      <c r="D12" s="8" t="s">
        <v>18</v>
      </c>
      <c r="E12" s="10" t="s">
        <v>27</v>
      </c>
      <c r="F12" s="11">
        <v>349.9</v>
      </c>
      <c r="G12" s="12">
        <v>14</v>
      </c>
      <c r="H12" s="11">
        <f t="shared" si="0"/>
        <v>4898.5999999999995</v>
      </c>
      <c r="I12" s="11">
        <f>165*G12</f>
        <v>2310</v>
      </c>
      <c r="J12" s="11">
        <f t="shared" si="1"/>
        <v>2588.5999999999995</v>
      </c>
    </row>
    <row r="13" spans="1:10" ht="16.5" x14ac:dyDescent="0.3">
      <c r="A13" s="13" t="s">
        <v>42</v>
      </c>
      <c r="B13" s="14">
        <v>45979</v>
      </c>
      <c r="C13" s="13" t="s">
        <v>13</v>
      </c>
      <c r="D13" s="13" t="s">
        <v>18</v>
      </c>
      <c r="E13" s="15" t="s">
        <v>36</v>
      </c>
      <c r="F13" s="16">
        <v>199.9</v>
      </c>
      <c r="G13" s="17">
        <v>12</v>
      </c>
      <c r="H13" s="16">
        <f t="shared" si="0"/>
        <v>2398.8000000000002</v>
      </c>
      <c r="I13" s="16">
        <f>98*G13</f>
        <v>1176</v>
      </c>
      <c r="J13" s="16">
        <f t="shared" si="1"/>
        <v>1222.8000000000002</v>
      </c>
    </row>
    <row r="14" spans="1:10" ht="16.5" x14ac:dyDescent="0.3">
      <c r="A14" s="8" t="s">
        <v>43</v>
      </c>
      <c r="B14" s="9">
        <v>45693</v>
      </c>
      <c r="C14" s="8" t="s">
        <v>9</v>
      </c>
      <c r="D14" s="8" t="s">
        <v>12</v>
      </c>
      <c r="E14" s="10" t="s">
        <v>27</v>
      </c>
      <c r="F14" s="11">
        <v>349.9</v>
      </c>
      <c r="G14" s="12">
        <v>2</v>
      </c>
      <c r="H14" s="11">
        <f t="shared" si="0"/>
        <v>699.8</v>
      </c>
      <c r="I14" s="11">
        <f>165*G14</f>
        <v>330</v>
      </c>
      <c r="J14" s="11">
        <f t="shared" si="1"/>
        <v>369.79999999999995</v>
      </c>
    </row>
    <row r="15" spans="1:10" ht="16.5" x14ac:dyDescent="0.3">
      <c r="A15" s="13" t="s">
        <v>44</v>
      </c>
      <c r="B15" s="14">
        <v>45777</v>
      </c>
      <c r="C15" s="13" t="s">
        <v>9</v>
      </c>
      <c r="D15" s="13" t="s">
        <v>16</v>
      </c>
      <c r="E15" s="15" t="s">
        <v>27</v>
      </c>
      <c r="F15" s="16">
        <v>349.9</v>
      </c>
      <c r="G15" s="17">
        <v>8</v>
      </c>
      <c r="H15" s="16">
        <f t="shared" si="0"/>
        <v>2799.2</v>
      </c>
      <c r="I15" s="16">
        <f>165*G15</f>
        <v>1320</v>
      </c>
      <c r="J15" s="16">
        <f t="shared" si="1"/>
        <v>1479.1999999999998</v>
      </c>
    </row>
    <row r="16" spans="1:10" ht="16.5" x14ac:dyDescent="0.3">
      <c r="A16" s="8" t="s">
        <v>45</v>
      </c>
      <c r="B16" s="9">
        <v>45983</v>
      </c>
      <c r="C16" s="8" t="s">
        <v>13</v>
      </c>
      <c r="D16" s="8" t="s">
        <v>12</v>
      </c>
      <c r="E16" s="10" t="s">
        <v>27</v>
      </c>
      <c r="F16" s="11">
        <v>349.9</v>
      </c>
      <c r="G16" s="12">
        <v>6</v>
      </c>
      <c r="H16" s="11">
        <f t="shared" si="0"/>
        <v>2099.3999999999996</v>
      </c>
      <c r="I16" s="11">
        <f>165*G16</f>
        <v>990</v>
      </c>
      <c r="J16" s="11">
        <f t="shared" si="1"/>
        <v>1109.3999999999996</v>
      </c>
    </row>
    <row r="17" spans="1:10" ht="16.5" x14ac:dyDescent="0.3">
      <c r="A17" s="13" t="s">
        <v>46</v>
      </c>
      <c r="B17" s="14">
        <v>45765</v>
      </c>
      <c r="C17" s="13" t="s">
        <v>13</v>
      </c>
      <c r="D17" s="13" t="s">
        <v>10</v>
      </c>
      <c r="E17" s="15" t="s">
        <v>29</v>
      </c>
      <c r="F17" s="16">
        <v>49.9</v>
      </c>
      <c r="G17" s="17">
        <v>11</v>
      </c>
      <c r="H17" s="16">
        <f t="shared" si="0"/>
        <v>548.9</v>
      </c>
      <c r="I17" s="16">
        <f>18*G17</f>
        <v>198</v>
      </c>
      <c r="J17" s="16">
        <f t="shared" si="1"/>
        <v>350.9</v>
      </c>
    </row>
    <row r="18" spans="1:10" ht="16.5" x14ac:dyDescent="0.3">
      <c r="A18" s="8" t="s">
        <v>47</v>
      </c>
      <c r="B18" s="9">
        <v>45745</v>
      </c>
      <c r="C18" s="8" t="s">
        <v>11</v>
      </c>
      <c r="D18" s="8" t="s">
        <v>12</v>
      </c>
      <c r="E18" s="10" t="s">
        <v>34</v>
      </c>
      <c r="F18" s="11">
        <v>249.9</v>
      </c>
      <c r="G18" s="12">
        <v>7</v>
      </c>
      <c r="H18" s="11">
        <f t="shared" si="0"/>
        <v>1749.3</v>
      </c>
      <c r="I18" s="11">
        <f>120*G18</f>
        <v>840</v>
      </c>
      <c r="J18" s="11">
        <f t="shared" si="1"/>
        <v>909.3</v>
      </c>
    </row>
    <row r="19" spans="1:10" ht="16.5" x14ac:dyDescent="0.3">
      <c r="A19" s="13" t="s">
        <v>48</v>
      </c>
      <c r="B19" s="14">
        <v>45796</v>
      </c>
      <c r="C19" s="13" t="s">
        <v>11</v>
      </c>
      <c r="D19" s="13" t="s">
        <v>14</v>
      </c>
      <c r="E19" s="15" t="s">
        <v>31</v>
      </c>
      <c r="F19" s="16">
        <v>149.9</v>
      </c>
      <c r="G19" s="17">
        <v>4</v>
      </c>
      <c r="H19" s="16">
        <f t="shared" si="0"/>
        <v>599.6</v>
      </c>
      <c r="I19" s="16">
        <f>75*G19</f>
        <v>300</v>
      </c>
      <c r="J19" s="16">
        <f t="shared" si="1"/>
        <v>299.60000000000002</v>
      </c>
    </row>
    <row r="20" spans="1:10" ht="16.5" x14ac:dyDescent="0.3">
      <c r="A20" s="8" t="s">
        <v>49</v>
      </c>
      <c r="B20" s="9">
        <v>45674</v>
      </c>
      <c r="C20" s="8" t="s">
        <v>13</v>
      </c>
      <c r="D20" s="8" t="s">
        <v>16</v>
      </c>
      <c r="E20" s="10" t="s">
        <v>27</v>
      </c>
      <c r="F20" s="11">
        <v>349.9</v>
      </c>
      <c r="G20" s="12">
        <v>2</v>
      </c>
      <c r="H20" s="11">
        <f t="shared" si="0"/>
        <v>699.8</v>
      </c>
      <c r="I20" s="11">
        <f>165*G20</f>
        <v>330</v>
      </c>
      <c r="J20" s="11">
        <f t="shared" si="1"/>
        <v>369.79999999999995</v>
      </c>
    </row>
    <row r="21" spans="1:10" ht="16.5" x14ac:dyDescent="0.3">
      <c r="A21" s="13" t="s">
        <v>50</v>
      </c>
      <c r="B21" s="14">
        <v>45766</v>
      </c>
      <c r="C21" s="13" t="s">
        <v>13</v>
      </c>
      <c r="D21" s="13" t="s">
        <v>12</v>
      </c>
      <c r="E21" s="15" t="s">
        <v>34</v>
      </c>
      <c r="F21" s="16">
        <v>249.9</v>
      </c>
      <c r="G21" s="17">
        <v>7</v>
      </c>
      <c r="H21" s="16">
        <f t="shared" si="0"/>
        <v>1749.3</v>
      </c>
      <c r="I21" s="16">
        <f>120*G21</f>
        <v>840</v>
      </c>
      <c r="J21" s="16">
        <f t="shared" si="1"/>
        <v>909.3</v>
      </c>
    </row>
    <row r="22" spans="1:10" ht="16.5" x14ac:dyDescent="0.3">
      <c r="A22" s="8" t="s">
        <v>51</v>
      </c>
      <c r="B22" s="9">
        <v>45987</v>
      </c>
      <c r="C22" s="8" t="s">
        <v>15</v>
      </c>
      <c r="D22" s="8" t="s">
        <v>12</v>
      </c>
      <c r="E22" s="10" t="s">
        <v>27</v>
      </c>
      <c r="F22" s="11">
        <v>349.9</v>
      </c>
      <c r="G22" s="12">
        <v>3</v>
      </c>
      <c r="H22" s="11">
        <f t="shared" si="0"/>
        <v>1049.6999999999998</v>
      </c>
      <c r="I22" s="11">
        <f>165*G22</f>
        <v>495</v>
      </c>
      <c r="J22" s="11">
        <f t="shared" si="1"/>
        <v>554.69999999999982</v>
      </c>
    </row>
    <row r="23" spans="1:10" ht="16.5" x14ac:dyDescent="0.3">
      <c r="A23" s="13" t="s">
        <v>52</v>
      </c>
      <c r="B23" s="14">
        <v>45784</v>
      </c>
      <c r="C23" s="13" t="s">
        <v>13</v>
      </c>
      <c r="D23" s="13" t="s">
        <v>18</v>
      </c>
      <c r="E23" s="15" t="s">
        <v>34</v>
      </c>
      <c r="F23" s="16">
        <v>249.9</v>
      </c>
      <c r="G23" s="17">
        <v>15</v>
      </c>
      <c r="H23" s="16">
        <f t="shared" si="0"/>
        <v>3748.5</v>
      </c>
      <c r="I23" s="16">
        <f>120*G23</f>
        <v>1800</v>
      </c>
      <c r="J23" s="16">
        <f t="shared" si="1"/>
        <v>1948.5</v>
      </c>
    </row>
    <row r="24" spans="1:10" ht="16.5" x14ac:dyDescent="0.3">
      <c r="A24" s="8" t="s">
        <v>53</v>
      </c>
      <c r="B24" s="9">
        <v>45956</v>
      </c>
      <c r="C24" s="8" t="s">
        <v>15</v>
      </c>
      <c r="D24" s="8" t="s">
        <v>14</v>
      </c>
      <c r="E24" s="10" t="s">
        <v>36</v>
      </c>
      <c r="F24" s="11">
        <v>199.9</v>
      </c>
      <c r="G24" s="12">
        <v>3</v>
      </c>
      <c r="H24" s="11">
        <f t="shared" si="0"/>
        <v>599.70000000000005</v>
      </c>
      <c r="I24" s="11">
        <f>98*G24</f>
        <v>294</v>
      </c>
      <c r="J24" s="11">
        <f t="shared" si="1"/>
        <v>305.70000000000005</v>
      </c>
    </row>
    <row r="25" spans="1:10" ht="16.5" x14ac:dyDescent="0.3">
      <c r="A25" s="13" t="s">
        <v>54</v>
      </c>
      <c r="B25" s="14">
        <v>45918</v>
      </c>
      <c r="C25" s="13" t="s">
        <v>15</v>
      </c>
      <c r="D25" s="13" t="s">
        <v>10</v>
      </c>
      <c r="E25" s="15" t="s">
        <v>31</v>
      </c>
      <c r="F25" s="16">
        <v>149.9</v>
      </c>
      <c r="G25" s="17">
        <v>14</v>
      </c>
      <c r="H25" s="16">
        <f t="shared" si="0"/>
        <v>2098.6</v>
      </c>
      <c r="I25" s="16">
        <f>75*G25</f>
        <v>1050</v>
      </c>
      <c r="J25" s="16">
        <f t="shared" si="1"/>
        <v>1048.5999999999999</v>
      </c>
    </row>
    <row r="26" spans="1:10" ht="16.5" x14ac:dyDescent="0.3">
      <c r="A26" s="8" t="s">
        <v>55</v>
      </c>
      <c r="B26" s="9">
        <v>45714</v>
      </c>
      <c r="C26" s="8" t="s">
        <v>11</v>
      </c>
      <c r="D26" s="8" t="s">
        <v>12</v>
      </c>
      <c r="E26" s="10" t="s">
        <v>34</v>
      </c>
      <c r="F26" s="11">
        <v>249.9</v>
      </c>
      <c r="G26" s="12">
        <v>10</v>
      </c>
      <c r="H26" s="11">
        <f t="shared" si="0"/>
        <v>2499</v>
      </c>
      <c r="I26" s="11">
        <f>120*G26</f>
        <v>1200</v>
      </c>
      <c r="J26" s="11">
        <f t="shared" si="1"/>
        <v>1299</v>
      </c>
    </row>
    <row r="27" spans="1:10" ht="16.5" x14ac:dyDescent="0.3">
      <c r="A27" s="13" t="s">
        <v>56</v>
      </c>
      <c r="B27" s="14">
        <v>45690</v>
      </c>
      <c r="C27" s="13" t="s">
        <v>15</v>
      </c>
      <c r="D27" s="13" t="s">
        <v>16</v>
      </c>
      <c r="E27" s="15" t="s">
        <v>29</v>
      </c>
      <c r="F27" s="16">
        <v>49.9</v>
      </c>
      <c r="G27" s="17">
        <v>8</v>
      </c>
      <c r="H27" s="16">
        <f t="shared" si="0"/>
        <v>399.2</v>
      </c>
      <c r="I27" s="16">
        <f>18*G27</f>
        <v>144</v>
      </c>
      <c r="J27" s="16">
        <f t="shared" si="1"/>
        <v>255.2</v>
      </c>
    </row>
    <row r="28" spans="1:10" ht="16.5" x14ac:dyDescent="0.3">
      <c r="A28" s="8" t="s">
        <v>57</v>
      </c>
      <c r="B28" s="9">
        <v>45928</v>
      </c>
      <c r="C28" s="8" t="s">
        <v>13</v>
      </c>
      <c r="D28" s="8" t="s">
        <v>18</v>
      </c>
      <c r="E28" s="10" t="s">
        <v>31</v>
      </c>
      <c r="F28" s="11">
        <v>149.9</v>
      </c>
      <c r="G28" s="12">
        <v>11</v>
      </c>
      <c r="H28" s="11">
        <f t="shared" si="0"/>
        <v>1648.9</v>
      </c>
      <c r="I28" s="11">
        <f>75*G28</f>
        <v>825</v>
      </c>
      <c r="J28" s="11">
        <f t="shared" si="1"/>
        <v>823.90000000000009</v>
      </c>
    </row>
    <row r="29" spans="1:10" ht="16.5" x14ac:dyDescent="0.3">
      <c r="A29" s="13" t="s">
        <v>58</v>
      </c>
      <c r="B29" s="14">
        <v>45716</v>
      </c>
      <c r="C29" s="13" t="s">
        <v>13</v>
      </c>
      <c r="D29" s="13" t="s">
        <v>14</v>
      </c>
      <c r="E29" s="15" t="s">
        <v>31</v>
      </c>
      <c r="F29" s="16">
        <v>149.9</v>
      </c>
      <c r="G29" s="17">
        <v>5</v>
      </c>
      <c r="H29" s="16">
        <f t="shared" si="0"/>
        <v>749.5</v>
      </c>
      <c r="I29" s="16">
        <f>75*G29</f>
        <v>375</v>
      </c>
      <c r="J29" s="16">
        <f t="shared" si="1"/>
        <v>374.5</v>
      </c>
    </row>
    <row r="30" spans="1:10" ht="16.5" x14ac:dyDescent="0.3">
      <c r="A30" s="8" t="s">
        <v>59</v>
      </c>
      <c r="B30" s="9">
        <v>45880</v>
      </c>
      <c r="C30" s="8" t="s">
        <v>11</v>
      </c>
      <c r="D30" s="8" t="s">
        <v>16</v>
      </c>
      <c r="E30" s="10" t="s">
        <v>31</v>
      </c>
      <c r="F30" s="11">
        <v>149.9</v>
      </c>
      <c r="G30" s="12">
        <v>12</v>
      </c>
      <c r="H30" s="11">
        <f t="shared" si="0"/>
        <v>1798.8000000000002</v>
      </c>
      <c r="I30" s="11">
        <f>75*G30</f>
        <v>900</v>
      </c>
      <c r="J30" s="11">
        <f t="shared" si="1"/>
        <v>898.80000000000018</v>
      </c>
    </row>
    <row r="31" spans="1:10" ht="16.5" x14ac:dyDescent="0.3">
      <c r="A31" s="13" t="s">
        <v>60</v>
      </c>
      <c r="B31" s="14">
        <v>45792</v>
      </c>
      <c r="C31" s="13" t="s">
        <v>11</v>
      </c>
      <c r="D31" s="13" t="s">
        <v>18</v>
      </c>
      <c r="E31" s="15" t="s">
        <v>31</v>
      </c>
      <c r="F31" s="16">
        <v>149.9</v>
      </c>
      <c r="G31" s="17">
        <v>14</v>
      </c>
      <c r="H31" s="16">
        <f t="shared" si="0"/>
        <v>2098.6</v>
      </c>
      <c r="I31" s="16">
        <f>75*G31</f>
        <v>1050</v>
      </c>
      <c r="J31" s="16">
        <f t="shared" si="1"/>
        <v>1048.5999999999999</v>
      </c>
    </row>
    <row r="32" spans="1:10" ht="16.5" x14ac:dyDescent="0.3">
      <c r="A32" s="8" t="s">
        <v>61</v>
      </c>
      <c r="B32" s="9">
        <v>45978</v>
      </c>
      <c r="C32" s="8" t="s">
        <v>13</v>
      </c>
      <c r="D32" s="8" t="s">
        <v>18</v>
      </c>
      <c r="E32" s="10" t="s">
        <v>29</v>
      </c>
      <c r="F32" s="11">
        <v>49.9</v>
      </c>
      <c r="G32" s="12">
        <v>4</v>
      </c>
      <c r="H32" s="11">
        <f t="shared" si="0"/>
        <v>199.6</v>
      </c>
      <c r="I32" s="11">
        <f>18*G32</f>
        <v>72</v>
      </c>
      <c r="J32" s="11">
        <f t="shared" si="1"/>
        <v>127.6</v>
      </c>
    </row>
    <row r="33" spans="1:10" ht="16.5" x14ac:dyDescent="0.3">
      <c r="A33" s="13" t="s">
        <v>62</v>
      </c>
      <c r="B33" s="14">
        <v>45736</v>
      </c>
      <c r="C33" s="13" t="s">
        <v>13</v>
      </c>
      <c r="D33" s="13" t="s">
        <v>12</v>
      </c>
      <c r="E33" s="15" t="s">
        <v>29</v>
      </c>
      <c r="F33" s="16">
        <v>49.9</v>
      </c>
      <c r="G33" s="17">
        <v>13</v>
      </c>
      <c r="H33" s="16">
        <f t="shared" si="0"/>
        <v>648.69999999999993</v>
      </c>
      <c r="I33" s="16">
        <f>18*G33</f>
        <v>234</v>
      </c>
      <c r="J33" s="16">
        <f t="shared" si="1"/>
        <v>414.69999999999993</v>
      </c>
    </row>
    <row r="34" spans="1:10" ht="16.5" x14ac:dyDescent="0.3">
      <c r="A34" s="8" t="s">
        <v>63</v>
      </c>
      <c r="B34" s="9">
        <v>45929</v>
      </c>
      <c r="C34" s="8" t="s">
        <v>9</v>
      </c>
      <c r="D34" s="8" t="s">
        <v>18</v>
      </c>
      <c r="E34" s="10" t="s">
        <v>27</v>
      </c>
      <c r="F34" s="11">
        <v>349.9</v>
      </c>
      <c r="G34" s="12">
        <v>8</v>
      </c>
      <c r="H34" s="11">
        <f t="shared" ref="H34:H65" si="2">F34*G34</f>
        <v>2799.2</v>
      </c>
      <c r="I34" s="11">
        <f>165*G34</f>
        <v>1320</v>
      </c>
      <c r="J34" s="11">
        <f t="shared" ref="J34:J65" si="3">H34-I34</f>
        <v>1479.1999999999998</v>
      </c>
    </row>
    <row r="35" spans="1:10" ht="16.5" x14ac:dyDescent="0.3">
      <c r="A35" s="13" t="s">
        <v>64</v>
      </c>
      <c r="B35" s="14">
        <v>45667</v>
      </c>
      <c r="C35" s="13" t="s">
        <v>9</v>
      </c>
      <c r="D35" s="13" t="s">
        <v>14</v>
      </c>
      <c r="E35" s="15" t="s">
        <v>27</v>
      </c>
      <c r="F35" s="16">
        <v>349.9</v>
      </c>
      <c r="G35" s="17">
        <v>4</v>
      </c>
      <c r="H35" s="16">
        <f t="shared" si="2"/>
        <v>1399.6</v>
      </c>
      <c r="I35" s="16">
        <f>165*G35</f>
        <v>660</v>
      </c>
      <c r="J35" s="16">
        <f t="shared" si="3"/>
        <v>739.59999999999991</v>
      </c>
    </row>
    <row r="36" spans="1:10" ht="16.5" x14ac:dyDescent="0.3">
      <c r="A36" s="8" t="s">
        <v>65</v>
      </c>
      <c r="B36" s="9">
        <v>45687</v>
      </c>
      <c r="C36" s="8" t="s">
        <v>11</v>
      </c>
      <c r="D36" s="8" t="s">
        <v>18</v>
      </c>
      <c r="E36" s="10" t="s">
        <v>31</v>
      </c>
      <c r="F36" s="11">
        <v>149.9</v>
      </c>
      <c r="G36" s="12">
        <v>2</v>
      </c>
      <c r="H36" s="11">
        <f t="shared" si="2"/>
        <v>299.8</v>
      </c>
      <c r="I36" s="11">
        <f>75*G36</f>
        <v>150</v>
      </c>
      <c r="J36" s="11">
        <f t="shared" si="3"/>
        <v>149.80000000000001</v>
      </c>
    </row>
    <row r="37" spans="1:10" ht="16.5" x14ac:dyDescent="0.3">
      <c r="A37" s="13" t="s">
        <v>66</v>
      </c>
      <c r="B37" s="14">
        <v>45906</v>
      </c>
      <c r="C37" s="13" t="s">
        <v>9</v>
      </c>
      <c r="D37" s="13" t="s">
        <v>18</v>
      </c>
      <c r="E37" s="15" t="s">
        <v>36</v>
      </c>
      <c r="F37" s="16">
        <v>199.9</v>
      </c>
      <c r="G37" s="17">
        <v>3</v>
      </c>
      <c r="H37" s="16">
        <f t="shared" si="2"/>
        <v>599.70000000000005</v>
      </c>
      <c r="I37" s="16">
        <f>98*G37</f>
        <v>294</v>
      </c>
      <c r="J37" s="16">
        <f t="shared" si="3"/>
        <v>305.70000000000005</v>
      </c>
    </row>
    <row r="38" spans="1:10" ht="16.5" x14ac:dyDescent="0.3">
      <c r="A38" s="8" t="s">
        <v>67</v>
      </c>
      <c r="B38" s="9">
        <v>45995</v>
      </c>
      <c r="C38" s="8" t="s">
        <v>15</v>
      </c>
      <c r="D38" s="8" t="s">
        <v>18</v>
      </c>
      <c r="E38" s="10" t="s">
        <v>36</v>
      </c>
      <c r="F38" s="11">
        <v>199.9</v>
      </c>
      <c r="G38" s="12">
        <v>5</v>
      </c>
      <c r="H38" s="11">
        <f t="shared" si="2"/>
        <v>999.5</v>
      </c>
      <c r="I38" s="11">
        <f>98*G38</f>
        <v>490</v>
      </c>
      <c r="J38" s="11">
        <f t="shared" si="3"/>
        <v>509.5</v>
      </c>
    </row>
    <row r="39" spans="1:10" ht="16.5" x14ac:dyDescent="0.3">
      <c r="A39" s="13" t="s">
        <v>68</v>
      </c>
      <c r="B39" s="14">
        <v>45928</v>
      </c>
      <c r="C39" s="13" t="s">
        <v>15</v>
      </c>
      <c r="D39" s="13" t="s">
        <v>12</v>
      </c>
      <c r="E39" s="15" t="s">
        <v>29</v>
      </c>
      <c r="F39" s="16">
        <v>49.9</v>
      </c>
      <c r="G39" s="17">
        <v>13</v>
      </c>
      <c r="H39" s="16">
        <f t="shared" si="2"/>
        <v>648.69999999999993</v>
      </c>
      <c r="I39" s="16">
        <f>18*G39</f>
        <v>234</v>
      </c>
      <c r="J39" s="16">
        <f t="shared" si="3"/>
        <v>414.69999999999993</v>
      </c>
    </row>
    <row r="40" spans="1:10" ht="16.5" x14ac:dyDescent="0.3">
      <c r="A40" s="8" t="s">
        <v>69</v>
      </c>
      <c r="B40" s="9">
        <v>46011</v>
      </c>
      <c r="C40" s="8" t="s">
        <v>11</v>
      </c>
      <c r="D40" s="8" t="s">
        <v>14</v>
      </c>
      <c r="E40" s="10" t="s">
        <v>34</v>
      </c>
      <c r="F40" s="11">
        <v>249.9</v>
      </c>
      <c r="G40" s="12">
        <v>11</v>
      </c>
      <c r="H40" s="11">
        <f t="shared" si="2"/>
        <v>2748.9</v>
      </c>
      <c r="I40" s="11">
        <f>120*G40</f>
        <v>1320</v>
      </c>
      <c r="J40" s="11">
        <f t="shared" si="3"/>
        <v>1428.9</v>
      </c>
    </row>
    <row r="41" spans="1:10" ht="16.5" x14ac:dyDescent="0.3">
      <c r="A41" s="13" t="s">
        <v>70</v>
      </c>
      <c r="B41" s="14">
        <v>45990</v>
      </c>
      <c r="C41" s="13" t="s">
        <v>13</v>
      </c>
      <c r="D41" s="13" t="s">
        <v>16</v>
      </c>
      <c r="E41" s="15" t="s">
        <v>29</v>
      </c>
      <c r="F41" s="16">
        <v>49.9</v>
      </c>
      <c r="G41" s="17">
        <v>8</v>
      </c>
      <c r="H41" s="16">
        <f t="shared" si="2"/>
        <v>399.2</v>
      </c>
      <c r="I41" s="16">
        <f>18*G41</f>
        <v>144</v>
      </c>
      <c r="J41" s="16">
        <f t="shared" si="3"/>
        <v>255.2</v>
      </c>
    </row>
    <row r="42" spans="1:10" ht="16.5" x14ac:dyDescent="0.3">
      <c r="A42" s="8" t="s">
        <v>71</v>
      </c>
      <c r="B42" s="9">
        <v>45719</v>
      </c>
      <c r="C42" s="8" t="s">
        <v>11</v>
      </c>
      <c r="D42" s="8" t="s">
        <v>12</v>
      </c>
      <c r="E42" s="10" t="s">
        <v>31</v>
      </c>
      <c r="F42" s="11">
        <v>149.9</v>
      </c>
      <c r="G42" s="12">
        <v>6</v>
      </c>
      <c r="H42" s="11">
        <f t="shared" si="2"/>
        <v>899.40000000000009</v>
      </c>
      <c r="I42" s="11">
        <f>75*G42</f>
        <v>450</v>
      </c>
      <c r="J42" s="11">
        <f t="shared" si="3"/>
        <v>449.40000000000009</v>
      </c>
    </row>
    <row r="43" spans="1:10" ht="16.5" x14ac:dyDescent="0.3">
      <c r="A43" s="13" t="s">
        <v>72</v>
      </c>
      <c r="B43" s="14">
        <v>45668</v>
      </c>
      <c r="C43" s="13" t="s">
        <v>11</v>
      </c>
      <c r="D43" s="13" t="s">
        <v>18</v>
      </c>
      <c r="E43" s="15" t="s">
        <v>36</v>
      </c>
      <c r="F43" s="16">
        <v>199.9</v>
      </c>
      <c r="G43" s="17">
        <v>1</v>
      </c>
      <c r="H43" s="16">
        <f t="shared" si="2"/>
        <v>199.9</v>
      </c>
      <c r="I43" s="16">
        <f>98*G43</f>
        <v>98</v>
      </c>
      <c r="J43" s="16">
        <f t="shared" si="3"/>
        <v>101.9</v>
      </c>
    </row>
    <row r="44" spans="1:10" ht="16.5" x14ac:dyDescent="0.3">
      <c r="A44" s="8" t="s">
        <v>73</v>
      </c>
      <c r="B44" s="9">
        <v>45694</v>
      </c>
      <c r="C44" s="8" t="s">
        <v>9</v>
      </c>
      <c r="D44" s="8" t="s">
        <v>12</v>
      </c>
      <c r="E44" s="10" t="s">
        <v>31</v>
      </c>
      <c r="F44" s="11">
        <v>149.9</v>
      </c>
      <c r="G44" s="12">
        <v>15</v>
      </c>
      <c r="H44" s="11">
        <f t="shared" si="2"/>
        <v>2248.5</v>
      </c>
      <c r="I44" s="11">
        <f>75*G44</f>
        <v>1125</v>
      </c>
      <c r="J44" s="11">
        <f t="shared" si="3"/>
        <v>1123.5</v>
      </c>
    </row>
    <row r="45" spans="1:10" ht="16.5" x14ac:dyDescent="0.3">
      <c r="A45" s="13" t="s">
        <v>74</v>
      </c>
      <c r="B45" s="14">
        <v>45674</v>
      </c>
      <c r="C45" s="13" t="s">
        <v>13</v>
      </c>
      <c r="D45" s="13" t="s">
        <v>10</v>
      </c>
      <c r="E45" s="15" t="s">
        <v>29</v>
      </c>
      <c r="F45" s="16">
        <v>49.9</v>
      </c>
      <c r="G45" s="17">
        <v>4</v>
      </c>
      <c r="H45" s="16">
        <f t="shared" si="2"/>
        <v>199.6</v>
      </c>
      <c r="I45" s="16">
        <f>18*G45</f>
        <v>72</v>
      </c>
      <c r="J45" s="16">
        <f t="shared" si="3"/>
        <v>127.6</v>
      </c>
    </row>
    <row r="46" spans="1:10" ht="16.5" x14ac:dyDescent="0.3">
      <c r="A46" s="8" t="s">
        <v>75</v>
      </c>
      <c r="B46" s="9">
        <v>45800</v>
      </c>
      <c r="C46" s="8" t="s">
        <v>15</v>
      </c>
      <c r="D46" s="8" t="s">
        <v>12</v>
      </c>
      <c r="E46" s="10" t="s">
        <v>29</v>
      </c>
      <c r="F46" s="11">
        <v>49.9</v>
      </c>
      <c r="G46" s="12">
        <v>3</v>
      </c>
      <c r="H46" s="11">
        <f t="shared" si="2"/>
        <v>149.69999999999999</v>
      </c>
      <c r="I46" s="11">
        <f>18*G46</f>
        <v>54</v>
      </c>
      <c r="J46" s="11">
        <f t="shared" si="3"/>
        <v>95.699999999999989</v>
      </c>
    </row>
    <row r="47" spans="1:10" ht="16.5" x14ac:dyDescent="0.3">
      <c r="A47" s="13" t="s">
        <v>76</v>
      </c>
      <c r="B47" s="14">
        <v>45950</v>
      </c>
      <c r="C47" s="13" t="s">
        <v>15</v>
      </c>
      <c r="D47" s="13" t="s">
        <v>12</v>
      </c>
      <c r="E47" s="15" t="s">
        <v>34</v>
      </c>
      <c r="F47" s="16">
        <v>249.9</v>
      </c>
      <c r="G47" s="17">
        <v>13</v>
      </c>
      <c r="H47" s="16">
        <f t="shared" si="2"/>
        <v>3248.7000000000003</v>
      </c>
      <c r="I47" s="16">
        <f>120*G47</f>
        <v>1560</v>
      </c>
      <c r="J47" s="16">
        <f t="shared" si="3"/>
        <v>1688.7000000000003</v>
      </c>
    </row>
    <row r="48" spans="1:10" ht="16.5" x14ac:dyDescent="0.3">
      <c r="A48" s="8" t="s">
        <v>77</v>
      </c>
      <c r="B48" s="9">
        <v>45866</v>
      </c>
      <c r="C48" s="8" t="s">
        <v>11</v>
      </c>
      <c r="D48" s="8" t="s">
        <v>10</v>
      </c>
      <c r="E48" s="10" t="s">
        <v>31</v>
      </c>
      <c r="F48" s="11">
        <v>149.9</v>
      </c>
      <c r="G48" s="12">
        <v>11</v>
      </c>
      <c r="H48" s="11">
        <f t="shared" si="2"/>
        <v>1648.9</v>
      </c>
      <c r="I48" s="11">
        <f>75*G48</f>
        <v>825</v>
      </c>
      <c r="J48" s="11">
        <f t="shared" si="3"/>
        <v>823.90000000000009</v>
      </c>
    </row>
    <row r="49" spans="1:10" ht="16.5" x14ac:dyDescent="0.3">
      <c r="A49" s="13" t="s">
        <v>78</v>
      </c>
      <c r="B49" s="14">
        <v>45878</v>
      </c>
      <c r="C49" s="13" t="s">
        <v>13</v>
      </c>
      <c r="D49" s="13" t="s">
        <v>16</v>
      </c>
      <c r="E49" s="15" t="s">
        <v>34</v>
      </c>
      <c r="F49" s="16">
        <v>249.9</v>
      </c>
      <c r="G49" s="17">
        <v>8</v>
      </c>
      <c r="H49" s="16">
        <f t="shared" si="2"/>
        <v>1999.2</v>
      </c>
      <c r="I49" s="16">
        <f>120*G49</f>
        <v>960</v>
      </c>
      <c r="J49" s="16">
        <f t="shared" si="3"/>
        <v>1039.2</v>
      </c>
    </row>
    <row r="50" spans="1:10" ht="16.5" x14ac:dyDescent="0.3">
      <c r="A50" s="8" t="s">
        <v>79</v>
      </c>
      <c r="B50" s="9">
        <v>45685</v>
      </c>
      <c r="C50" s="8" t="s">
        <v>9</v>
      </c>
      <c r="D50" s="8" t="s">
        <v>10</v>
      </c>
      <c r="E50" s="10" t="s">
        <v>34</v>
      </c>
      <c r="F50" s="11">
        <v>249.9</v>
      </c>
      <c r="G50" s="12">
        <v>12</v>
      </c>
      <c r="H50" s="11">
        <f t="shared" si="2"/>
        <v>2998.8</v>
      </c>
      <c r="I50" s="11">
        <f>120*G50</f>
        <v>1440</v>
      </c>
      <c r="J50" s="11">
        <f t="shared" si="3"/>
        <v>1558.8000000000002</v>
      </c>
    </row>
    <row r="51" spans="1:10" ht="16.5" x14ac:dyDescent="0.3">
      <c r="A51" s="13" t="s">
        <v>80</v>
      </c>
      <c r="B51" s="14">
        <v>45831</v>
      </c>
      <c r="C51" s="13" t="s">
        <v>9</v>
      </c>
      <c r="D51" s="13" t="s">
        <v>12</v>
      </c>
      <c r="E51" s="15" t="s">
        <v>36</v>
      </c>
      <c r="F51" s="16">
        <v>199.9</v>
      </c>
      <c r="G51" s="17">
        <v>4</v>
      </c>
      <c r="H51" s="16">
        <f t="shared" si="2"/>
        <v>799.6</v>
      </c>
      <c r="I51" s="16">
        <f>98*G51</f>
        <v>392</v>
      </c>
      <c r="J51" s="16">
        <f t="shared" si="3"/>
        <v>407.6</v>
      </c>
    </row>
    <row r="52" spans="1:10" ht="16.5" x14ac:dyDescent="0.3">
      <c r="A52" s="8" t="s">
        <v>81</v>
      </c>
      <c r="B52" s="9">
        <v>45932</v>
      </c>
      <c r="C52" s="8" t="s">
        <v>15</v>
      </c>
      <c r="D52" s="8" t="s">
        <v>12</v>
      </c>
      <c r="E52" s="10" t="s">
        <v>34</v>
      </c>
      <c r="F52" s="11">
        <v>249.9</v>
      </c>
      <c r="G52" s="12">
        <v>3</v>
      </c>
      <c r="H52" s="11">
        <f t="shared" si="2"/>
        <v>749.7</v>
      </c>
      <c r="I52" s="11">
        <f>120*G52</f>
        <v>360</v>
      </c>
      <c r="J52" s="11">
        <f t="shared" si="3"/>
        <v>389.70000000000005</v>
      </c>
    </row>
    <row r="53" spans="1:10" ht="16.5" x14ac:dyDescent="0.3">
      <c r="A53" s="13" t="s">
        <v>82</v>
      </c>
      <c r="B53" s="14">
        <v>45800</v>
      </c>
      <c r="C53" s="13" t="s">
        <v>15</v>
      </c>
      <c r="D53" s="13" t="s">
        <v>12</v>
      </c>
      <c r="E53" s="15" t="s">
        <v>31</v>
      </c>
      <c r="F53" s="16">
        <v>149.9</v>
      </c>
      <c r="G53" s="17">
        <v>8</v>
      </c>
      <c r="H53" s="16">
        <f t="shared" si="2"/>
        <v>1199.2</v>
      </c>
      <c r="I53" s="16">
        <f>75*G53</f>
        <v>600</v>
      </c>
      <c r="J53" s="16">
        <f t="shared" si="3"/>
        <v>599.20000000000005</v>
      </c>
    </row>
    <row r="54" spans="1:10" ht="16.5" x14ac:dyDescent="0.3">
      <c r="A54" s="8" t="s">
        <v>83</v>
      </c>
      <c r="B54" s="9">
        <v>45939</v>
      </c>
      <c r="C54" s="8" t="s">
        <v>9</v>
      </c>
      <c r="D54" s="8" t="s">
        <v>10</v>
      </c>
      <c r="E54" s="10" t="s">
        <v>29</v>
      </c>
      <c r="F54" s="11">
        <v>49.9</v>
      </c>
      <c r="G54" s="12">
        <v>14</v>
      </c>
      <c r="H54" s="11">
        <f t="shared" si="2"/>
        <v>698.6</v>
      </c>
      <c r="I54" s="11">
        <f>18*G54</f>
        <v>252</v>
      </c>
      <c r="J54" s="11">
        <f t="shared" si="3"/>
        <v>446.6</v>
      </c>
    </row>
    <row r="55" spans="1:10" ht="16.5" x14ac:dyDescent="0.3">
      <c r="A55" s="13" t="s">
        <v>84</v>
      </c>
      <c r="B55" s="14">
        <v>45665</v>
      </c>
      <c r="C55" s="13" t="s">
        <v>9</v>
      </c>
      <c r="D55" s="13" t="s">
        <v>12</v>
      </c>
      <c r="E55" s="15" t="s">
        <v>36</v>
      </c>
      <c r="F55" s="16">
        <v>199.9</v>
      </c>
      <c r="G55" s="17">
        <v>7</v>
      </c>
      <c r="H55" s="16">
        <f t="shared" si="2"/>
        <v>1399.3</v>
      </c>
      <c r="I55" s="16">
        <f>98*G55</f>
        <v>686</v>
      </c>
      <c r="J55" s="16">
        <f t="shared" si="3"/>
        <v>713.3</v>
      </c>
    </row>
    <row r="56" spans="1:10" ht="16.5" x14ac:dyDescent="0.3">
      <c r="A56" s="8" t="s">
        <v>85</v>
      </c>
      <c r="B56" s="9">
        <v>45906</v>
      </c>
      <c r="C56" s="8" t="s">
        <v>15</v>
      </c>
      <c r="D56" s="8" t="s">
        <v>12</v>
      </c>
      <c r="E56" s="10" t="s">
        <v>34</v>
      </c>
      <c r="F56" s="11">
        <v>249.9</v>
      </c>
      <c r="G56" s="12">
        <v>15</v>
      </c>
      <c r="H56" s="11">
        <f t="shared" si="2"/>
        <v>3748.5</v>
      </c>
      <c r="I56" s="11">
        <f>120*G56</f>
        <v>1800</v>
      </c>
      <c r="J56" s="11">
        <f t="shared" si="3"/>
        <v>1948.5</v>
      </c>
    </row>
    <row r="57" spans="1:10" ht="16.5" x14ac:dyDescent="0.3">
      <c r="A57" s="13" t="s">
        <v>86</v>
      </c>
      <c r="B57" s="14">
        <v>45688</v>
      </c>
      <c r="C57" s="13" t="s">
        <v>11</v>
      </c>
      <c r="D57" s="13" t="s">
        <v>16</v>
      </c>
      <c r="E57" s="15" t="s">
        <v>31</v>
      </c>
      <c r="F57" s="16">
        <v>149.9</v>
      </c>
      <c r="G57" s="17">
        <v>7</v>
      </c>
      <c r="H57" s="16">
        <f t="shared" si="2"/>
        <v>1049.3</v>
      </c>
      <c r="I57" s="16">
        <f>75*G57</f>
        <v>525</v>
      </c>
      <c r="J57" s="16">
        <f t="shared" si="3"/>
        <v>524.29999999999995</v>
      </c>
    </row>
    <row r="58" spans="1:10" ht="16.5" x14ac:dyDescent="0.3">
      <c r="A58" s="8" t="s">
        <v>87</v>
      </c>
      <c r="B58" s="9">
        <v>45793</v>
      </c>
      <c r="C58" s="8" t="s">
        <v>15</v>
      </c>
      <c r="D58" s="8" t="s">
        <v>14</v>
      </c>
      <c r="E58" s="10" t="s">
        <v>34</v>
      </c>
      <c r="F58" s="11">
        <v>249.9</v>
      </c>
      <c r="G58" s="12">
        <v>12</v>
      </c>
      <c r="H58" s="11">
        <f t="shared" si="2"/>
        <v>2998.8</v>
      </c>
      <c r="I58" s="11">
        <f>120*G58</f>
        <v>1440</v>
      </c>
      <c r="J58" s="11">
        <f t="shared" si="3"/>
        <v>1558.8000000000002</v>
      </c>
    </row>
    <row r="59" spans="1:10" ht="16.5" x14ac:dyDescent="0.3">
      <c r="A59" s="13" t="s">
        <v>88</v>
      </c>
      <c r="B59" s="14">
        <v>45942</v>
      </c>
      <c r="C59" s="13" t="s">
        <v>15</v>
      </c>
      <c r="D59" s="13" t="s">
        <v>12</v>
      </c>
      <c r="E59" s="15" t="s">
        <v>36</v>
      </c>
      <c r="F59" s="16">
        <v>199.9</v>
      </c>
      <c r="G59" s="17">
        <v>5</v>
      </c>
      <c r="H59" s="16">
        <f t="shared" si="2"/>
        <v>999.5</v>
      </c>
      <c r="I59" s="16">
        <f>98*G59</f>
        <v>490</v>
      </c>
      <c r="J59" s="16">
        <f t="shared" si="3"/>
        <v>509.5</v>
      </c>
    </row>
    <row r="60" spans="1:10" ht="16.5" x14ac:dyDescent="0.3">
      <c r="A60" s="8" t="s">
        <v>89</v>
      </c>
      <c r="B60" s="9">
        <v>45769</v>
      </c>
      <c r="C60" s="8" t="s">
        <v>9</v>
      </c>
      <c r="D60" s="8" t="s">
        <v>18</v>
      </c>
      <c r="E60" s="10" t="s">
        <v>29</v>
      </c>
      <c r="F60" s="11">
        <v>49.9</v>
      </c>
      <c r="G60" s="12">
        <v>1</v>
      </c>
      <c r="H60" s="11">
        <f t="shared" si="2"/>
        <v>49.9</v>
      </c>
      <c r="I60" s="11">
        <f>18*G60</f>
        <v>18</v>
      </c>
      <c r="J60" s="11">
        <f t="shared" si="3"/>
        <v>31.9</v>
      </c>
    </row>
    <row r="61" spans="1:10" ht="16.5" x14ac:dyDescent="0.3">
      <c r="A61" s="13" t="s">
        <v>90</v>
      </c>
      <c r="B61" s="14">
        <v>45818</v>
      </c>
      <c r="C61" s="13" t="s">
        <v>9</v>
      </c>
      <c r="D61" s="13" t="s">
        <v>10</v>
      </c>
      <c r="E61" s="15" t="s">
        <v>29</v>
      </c>
      <c r="F61" s="16">
        <v>49.9</v>
      </c>
      <c r="G61" s="17">
        <v>8</v>
      </c>
      <c r="H61" s="16">
        <f t="shared" si="2"/>
        <v>399.2</v>
      </c>
      <c r="I61" s="16">
        <f>18*G61</f>
        <v>144</v>
      </c>
      <c r="J61" s="16">
        <f t="shared" si="3"/>
        <v>255.2</v>
      </c>
    </row>
    <row r="62" spans="1:10" ht="16.5" x14ac:dyDescent="0.3">
      <c r="A62" s="8" t="s">
        <v>91</v>
      </c>
      <c r="B62" s="9">
        <v>45915</v>
      </c>
      <c r="C62" s="8" t="s">
        <v>11</v>
      </c>
      <c r="D62" s="8" t="s">
        <v>10</v>
      </c>
      <c r="E62" s="10" t="s">
        <v>29</v>
      </c>
      <c r="F62" s="11">
        <v>49.9</v>
      </c>
      <c r="G62" s="12">
        <v>2</v>
      </c>
      <c r="H62" s="11">
        <f t="shared" si="2"/>
        <v>99.8</v>
      </c>
      <c r="I62" s="11">
        <f>18*G62</f>
        <v>36</v>
      </c>
      <c r="J62" s="11">
        <f t="shared" si="3"/>
        <v>63.8</v>
      </c>
    </row>
    <row r="63" spans="1:10" ht="16.5" x14ac:dyDescent="0.3">
      <c r="A63" s="13" t="s">
        <v>92</v>
      </c>
      <c r="B63" s="14">
        <v>45753</v>
      </c>
      <c r="C63" s="13" t="s">
        <v>9</v>
      </c>
      <c r="D63" s="13" t="s">
        <v>18</v>
      </c>
      <c r="E63" s="15" t="s">
        <v>31</v>
      </c>
      <c r="F63" s="16">
        <v>149.9</v>
      </c>
      <c r="G63" s="17">
        <v>11</v>
      </c>
      <c r="H63" s="16">
        <f t="shared" si="2"/>
        <v>1648.9</v>
      </c>
      <c r="I63" s="16">
        <f>75*G63</f>
        <v>825</v>
      </c>
      <c r="J63" s="16">
        <f t="shared" si="3"/>
        <v>823.90000000000009</v>
      </c>
    </row>
    <row r="64" spans="1:10" ht="16.5" x14ac:dyDescent="0.3">
      <c r="A64" s="8" t="s">
        <v>93</v>
      </c>
      <c r="B64" s="9">
        <v>45778</v>
      </c>
      <c r="C64" s="8" t="s">
        <v>15</v>
      </c>
      <c r="D64" s="8" t="s">
        <v>10</v>
      </c>
      <c r="E64" s="10" t="s">
        <v>29</v>
      </c>
      <c r="F64" s="11">
        <v>49.9</v>
      </c>
      <c r="G64" s="12">
        <v>4</v>
      </c>
      <c r="H64" s="11">
        <f t="shared" si="2"/>
        <v>199.6</v>
      </c>
      <c r="I64" s="11">
        <f>18*G64</f>
        <v>72</v>
      </c>
      <c r="J64" s="11">
        <f t="shared" si="3"/>
        <v>127.6</v>
      </c>
    </row>
    <row r="65" spans="1:10" ht="16.5" x14ac:dyDescent="0.3">
      <c r="A65" s="13" t="s">
        <v>94</v>
      </c>
      <c r="B65" s="14">
        <v>45954</v>
      </c>
      <c r="C65" s="13" t="s">
        <v>9</v>
      </c>
      <c r="D65" s="13" t="s">
        <v>18</v>
      </c>
      <c r="E65" s="15" t="s">
        <v>31</v>
      </c>
      <c r="F65" s="16">
        <v>149.9</v>
      </c>
      <c r="G65" s="17">
        <v>7</v>
      </c>
      <c r="H65" s="16">
        <f t="shared" si="2"/>
        <v>1049.3</v>
      </c>
      <c r="I65" s="16">
        <f>75*G65</f>
        <v>525</v>
      </c>
      <c r="J65" s="16">
        <f t="shared" si="3"/>
        <v>524.29999999999995</v>
      </c>
    </row>
    <row r="66" spans="1:10" ht="16.5" x14ac:dyDescent="0.3">
      <c r="A66" s="8" t="s">
        <v>95</v>
      </c>
      <c r="B66" s="9">
        <v>45994</v>
      </c>
      <c r="C66" s="8" t="s">
        <v>13</v>
      </c>
      <c r="D66" s="8" t="s">
        <v>14</v>
      </c>
      <c r="E66" s="10" t="s">
        <v>36</v>
      </c>
      <c r="F66" s="11">
        <v>199.9</v>
      </c>
      <c r="G66" s="12">
        <v>11</v>
      </c>
      <c r="H66" s="11">
        <f t="shared" ref="H66:H97" si="4">F66*G66</f>
        <v>2198.9</v>
      </c>
      <c r="I66" s="11">
        <f>98*G66</f>
        <v>1078</v>
      </c>
      <c r="J66" s="11">
        <f t="shared" ref="J66:J97" si="5">H66-I66</f>
        <v>1120.9000000000001</v>
      </c>
    </row>
    <row r="67" spans="1:10" ht="16.5" x14ac:dyDescent="0.3">
      <c r="A67" s="13" t="s">
        <v>96</v>
      </c>
      <c r="B67" s="14">
        <v>45818</v>
      </c>
      <c r="C67" s="13" t="s">
        <v>11</v>
      </c>
      <c r="D67" s="13" t="s">
        <v>14</v>
      </c>
      <c r="E67" s="15" t="s">
        <v>34</v>
      </c>
      <c r="F67" s="16">
        <v>249.9</v>
      </c>
      <c r="G67" s="17">
        <v>3</v>
      </c>
      <c r="H67" s="16">
        <f t="shared" si="4"/>
        <v>749.7</v>
      </c>
      <c r="I67" s="16">
        <f>120*G67</f>
        <v>360</v>
      </c>
      <c r="J67" s="16">
        <f t="shared" si="5"/>
        <v>389.70000000000005</v>
      </c>
    </row>
    <row r="68" spans="1:10" ht="16.5" x14ac:dyDescent="0.3">
      <c r="A68" s="8" t="s">
        <v>97</v>
      </c>
      <c r="B68" s="9">
        <v>46001</v>
      </c>
      <c r="C68" s="8" t="s">
        <v>13</v>
      </c>
      <c r="D68" s="8" t="s">
        <v>16</v>
      </c>
      <c r="E68" s="10" t="s">
        <v>27</v>
      </c>
      <c r="F68" s="11">
        <v>349.9</v>
      </c>
      <c r="G68" s="12">
        <v>15</v>
      </c>
      <c r="H68" s="11">
        <f t="shared" si="4"/>
        <v>5248.5</v>
      </c>
      <c r="I68" s="11">
        <f>165*G68</f>
        <v>2475</v>
      </c>
      <c r="J68" s="11">
        <f t="shared" si="5"/>
        <v>2773.5</v>
      </c>
    </row>
    <row r="69" spans="1:10" ht="16.5" x14ac:dyDescent="0.3">
      <c r="A69" s="13" t="s">
        <v>98</v>
      </c>
      <c r="B69" s="14">
        <v>45695</v>
      </c>
      <c r="C69" s="13" t="s">
        <v>9</v>
      </c>
      <c r="D69" s="13" t="s">
        <v>16</v>
      </c>
      <c r="E69" s="15" t="s">
        <v>29</v>
      </c>
      <c r="F69" s="16">
        <v>49.9</v>
      </c>
      <c r="G69" s="17">
        <v>10</v>
      </c>
      <c r="H69" s="16">
        <f t="shared" si="4"/>
        <v>499</v>
      </c>
      <c r="I69" s="16">
        <f>18*G69</f>
        <v>180</v>
      </c>
      <c r="J69" s="16">
        <f t="shared" si="5"/>
        <v>319</v>
      </c>
    </row>
    <row r="70" spans="1:10" ht="16.5" x14ac:dyDescent="0.3">
      <c r="A70" s="8" t="s">
        <v>99</v>
      </c>
      <c r="B70" s="9">
        <v>45709</v>
      </c>
      <c r="C70" s="8" t="s">
        <v>9</v>
      </c>
      <c r="D70" s="8" t="s">
        <v>18</v>
      </c>
      <c r="E70" s="10" t="s">
        <v>36</v>
      </c>
      <c r="F70" s="11">
        <v>199.9</v>
      </c>
      <c r="G70" s="12">
        <v>9</v>
      </c>
      <c r="H70" s="11">
        <f t="shared" si="4"/>
        <v>1799.1000000000001</v>
      </c>
      <c r="I70" s="11">
        <f>98*G70</f>
        <v>882</v>
      </c>
      <c r="J70" s="11">
        <f t="shared" si="5"/>
        <v>917.10000000000014</v>
      </c>
    </row>
    <row r="71" spans="1:10" ht="16.5" x14ac:dyDescent="0.3">
      <c r="A71" s="13" t="s">
        <v>100</v>
      </c>
      <c r="B71" s="14">
        <v>45793</v>
      </c>
      <c r="C71" s="13" t="s">
        <v>11</v>
      </c>
      <c r="D71" s="13" t="s">
        <v>14</v>
      </c>
      <c r="E71" s="15" t="s">
        <v>31</v>
      </c>
      <c r="F71" s="16">
        <v>149.9</v>
      </c>
      <c r="G71" s="17">
        <v>15</v>
      </c>
      <c r="H71" s="16">
        <f t="shared" si="4"/>
        <v>2248.5</v>
      </c>
      <c r="I71" s="16">
        <f>75*G71</f>
        <v>1125</v>
      </c>
      <c r="J71" s="16">
        <f t="shared" si="5"/>
        <v>1123.5</v>
      </c>
    </row>
    <row r="72" spans="1:10" ht="16.5" x14ac:dyDescent="0.3">
      <c r="A72" s="8" t="s">
        <v>101</v>
      </c>
      <c r="B72" s="9">
        <v>45783</v>
      </c>
      <c r="C72" s="8" t="s">
        <v>13</v>
      </c>
      <c r="D72" s="8" t="s">
        <v>14</v>
      </c>
      <c r="E72" s="10" t="s">
        <v>36</v>
      </c>
      <c r="F72" s="11">
        <v>199.9</v>
      </c>
      <c r="G72" s="12">
        <v>8</v>
      </c>
      <c r="H72" s="11">
        <f t="shared" si="4"/>
        <v>1599.2</v>
      </c>
      <c r="I72" s="11">
        <f>98*G72</f>
        <v>784</v>
      </c>
      <c r="J72" s="11">
        <f t="shared" si="5"/>
        <v>815.2</v>
      </c>
    </row>
    <row r="73" spans="1:10" ht="16.5" x14ac:dyDescent="0.3">
      <c r="A73" s="13" t="s">
        <v>102</v>
      </c>
      <c r="B73" s="14">
        <v>45936</v>
      </c>
      <c r="C73" s="13" t="s">
        <v>13</v>
      </c>
      <c r="D73" s="13" t="s">
        <v>18</v>
      </c>
      <c r="E73" s="15" t="s">
        <v>29</v>
      </c>
      <c r="F73" s="16">
        <v>49.9</v>
      </c>
      <c r="G73" s="17">
        <v>1</v>
      </c>
      <c r="H73" s="16">
        <f t="shared" si="4"/>
        <v>49.9</v>
      </c>
      <c r="I73" s="16">
        <f>18*G73</f>
        <v>18</v>
      </c>
      <c r="J73" s="16">
        <f t="shared" si="5"/>
        <v>31.9</v>
      </c>
    </row>
    <row r="74" spans="1:10" ht="16.5" x14ac:dyDescent="0.3">
      <c r="A74" s="8" t="s">
        <v>103</v>
      </c>
      <c r="B74" s="9">
        <v>45999</v>
      </c>
      <c r="C74" s="8" t="s">
        <v>13</v>
      </c>
      <c r="D74" s="8" t="s">
        <v>10</v>
      </c>
      <c r="E74" s="10" t="s">
        <v>36</v>
      </c>
      <c r="F74" s="11">
        <v>199.9</v>
      </c>
      <c r="G74" s="12">
        <v>5</v>
      </c>
      <c r="H74" s="11">
        <f t="shared" si="4"/>
        <v>999.5</v>
      </c>
      <c r="I74" s="11">
        <f>98*G74</f>
        <v>490</v>
      </c>
      <c r="J74" s="11">
        <f t="shared" si="5"/>
        <v>509.5</v>
      </c>
    </row>
    <row r="75" spans="1:10" ht="16.5" x14ac:dyDescent="0.3">
      <c r="A75" s="13" t="s">
        <v>104</v>
      </c>
      <c r="B75" s="14">
        <v>45717</v>
      </c>
      <c r="C75" s="13" t="s">
        <v>9</v>
      </c>
      <c r="D75" s="13" t="s">
        <v>18</v>
      </c>
      <c r="E75" s="15" t="s">
        <v>36</v>
      </c>
      <c r="F75" s="16">
        <v>199.9</v>
      </c>
      <c r="G75" s="17">
        <v>5</v>
      </c>
      <c r="H75" s="16">
        <f t="shared" si="4"/>
        <v>999.5</v>
      </c>
      <c r="I75" s="16">
        <f>98*G75</f>
        <v>490</v>
      </c>
      <c r="J75" s="16">
        <f t="shared" si="5"/>
        <v>509.5</v>
      </c>
    </row>
    <row r="76" spans="1:10" ht="16.5" x14ac:dyDescent="0.3">
      <c r="A76" s="8" t="s">
        <v>105</v>
      </c>
      <c r="B76" s="9">
        <v>45802</v>
      </c>
      <c r="C76" s="8" t="s">
        <v>11</v>
      </c>
      <c r="D76" s="8" t="s">
        <v>14</v>
      </c>
      <c r="E76" s="10" t="s">
        <v>36</v>
      </c>
      <c r="F76" s="11">
        <v>199.9</v>
      </c>
      <c r="G76" s="12">
        <v>11</v>
      </c>
      <c r="H76" s="11">
        <f t="shared" si="4"/>
        <v>2198.9</v>
      </c>
      <c r="I76" s="11">
        <f>98*G76</f>
        <v>1078</v>
      </c>
      <c r="J76" s="11">
        <f t="shared" si="5"/>
        <v>1120.9000000000001</v>
      </c>
    </row>
    <row r="77" spans="1:10" ht="16.5" x14ac:dyDescent="0.3">
      <c r="A77" s="13" t="s">
        <v>106</v>
      </c>
      <c r="B77" s="14">
        <v>45982</v>
      </c>
      <c r="C77" s="13" t="s">
        <v>13</v>
      </c>
      <c r="D77" s="13" t="s">
        <v>18</v>
      </c>
      <c r="E77" s="15" t="s">
        <v>34</v>
      </c>
      <c r="F77" s="16">
        <v>249.9</v>
      </c>
      <c r="G77" s="17">
        <v>5</v>
      </c>
      <c r="H77" s="16">
        <f t="shared" si="4"/>
        <v>1249.5</v>
      </c>
      <c r="I77" s="16">
        <f>120*G77</f>
        <v>600</v>
      </c>
      <c r="J77" s="16">
        <f t="shared" si="5"/>
        <v>649.5</v>
      </c>
    </row>
    <row r="78" spans="1:10" ht="16.5" x14ac:dyDescent="0.3">
      <c r="A78" s="8" t="s">
        <v>107</v>
      </c>
      <c r="B78" s="9">
        <v>45684</v>
      </c>
      <c r="C78" s="8" t="s">
        <v>9</v>
      </c>
      <c r="D78" s="8" t="s">
        <v>16</v>
      </c>
      <c r="E78" s="10" t="s">
        <v>27</v>
      </c>
      <c r="F78" s="11">
        <v>349.9</v>
      </c>
      <c r="G78" s="12">
        <v>1</v>
      </c>
      <c r="H78" s="11">
        <f t="shared" si="4"/>
        <v>349.9</v>
      </c>
      <c r="I78" s="11">
        <f>165*G78</f>
        <v>165</v>
      </c>
      <c r="J78" s="11">
        <f t="shared" si="5"/>
        <v>184.89999999999998</v>
      </c>
    </row>
    <row r="79" spans="1:10" ht="16.5" x14ac:dyDescent="0.3">
      <c r="A79" s="13" t="s">
        <v>108</v>
      </c>
      <c r="B79" s="14">
        <v>45659</v>
      </c>
      <c r="C79" s="13" t="s">
        <v>13</v>
      </c>
      <c r="D79" s="13" t="s">
        <v>12</v>
      </c>
      <c r="E79" s="15" t="s">
        <v>27</v>
      </c>
      <c r="F79" s="16">
        <v>349.9</v>
      </c>
      <c r="G79" s="17">
        <v>3</v>
      </c>
      <c r="H79" s="16">
        <f t="shared" si="4"/>
        <v>1049.6999999999998</v>
      </c>
      <c r="I79" s="16">
        <f>165*G79</f>
        <v>495</v>
      </c>
      <c r="J79" s="16">
        <f t="shared" si="5"/>
        <v>554.69999999999982</v>
      </c>
    </row>
    <row r="80" spans="1:10" ht="16.5" x14ac:dyDescent="0.3">
      <c r="A80" s="8" t="s">
        <v>109</v>
      </c>
      <c r="B80" s="9">
        <v>45884</v>
      </c>
      <c r="C80" s="8" t="s">
        <v>15</v>
      </c>
      <c r="D80" s="8" t="s">
        <v>18</v>
      </c>
      <c r="E80" s="10" t="s">
        <v>31</v>
      </c>
      <c r="F80" s="11">
        <v>149.9</v>
      </c>
      <c r="G80" s="12">
        <v>2</v>
      </c>
      <c r="H80" s="11">
        <f t="shared" si="4"/>
        <v>299.8</v>
      </c>
      <c r="I80" s="11">
        <f>75*G80</f>
        <v>150</v>
      </c>
      <c r="J80" s="11">
        <f t="shared" si="5"/>
        <v>149.80000000000001</v>
      </c>
    </row>
    <row r="81" spans="1:10" ht="16.5" x14ac:dyDescent="0.3">
      <c r="A81" s="13" t="s">
        <v>110</v>
      </c>
      <c r="B81" s="14">
        <v>45696</v>
      </c>
      <c r="C81" s="13" t="s">
        <v>11</v>
      </c>
      <c r="D81" s="13" t="s">
        <v>18</v>
      </c>
      <c r="E81" s="15" t="s">
        <v>31</v>
      </c>
      <c r="F81" s="16">
        <v>149.9</v>
      </c>
      <c r="G81" s="17">
        <v>14</v>
      </c>
      <c r="H81" s="16">
        <f t="shared" si="4"/>
        <v>2098.6</v>
      </c>
      <c r="I81" s="16">
        <f>75*G81</f>
        <v>1050</v>
      </c>
      <c r="J81" s="16">
        <f t="shared" si="5"/>
        <v>1048.5999999999999</v>
      </c>
    </row>
    <row r="82" spans="1:10" ht="16.5" x14ac:dyDescent="0.3">
      <c r="A82" s="8" t="s">
        <v>111</v>
      </c>
      <c r="B82" s="9">
        <v>45847</v>
      </c>
      <c r="C82" s="8" t="s">
        <v>11</v>
      </c>
      <c r="D82" s="8" t="s">
        <v>16</v>
      </c>
      <c r="E82" s="10" t="s">
        <v>36</v>
      </c>
      <c r="F82" s="11">
        <v>199.9</v>
      </c>
      <c r="G82" s="12">
        <v>1</v>
      </c>
      <c r="H82" s="11">
        <f t="shared" si="4"/>
        <v>199.9</v>
      </c>
      <c r="I82" s="11">
        <f>98*G82</f>
        <v>98</v>
      </c>
      <c r="J82" s="11">
        <f t="shared" si="5"/>
        <v>101.9</v>
      </c>
    </row>
    <row r="83" spans="1:10" ht="16.5" x14ac:dyDescent="0.3">
      <c r="A83" s="13" t="s">
        <v>112</v>
      </c>
      <c r="B83" s="14">
        <v>45815</v>
      </c>
      <c r="C83" s="13" t="s">
        <v>13</v>
      </c>
      <c r="D83" s="13" t="s">
        <v>10</v>
      </c>
      <c r="E83" s="15" t="s">
        <v>27</v>
      </c>
      <c r="F83" s="16">
        <v>349.9</v>
      </c>
      <c r="G83" s="17">
        <v>4</v>
      </c>
      <c r="H83" s="16">
        <f t="shared" si="4"/>
        <v>1399.6</v>
      </c>
      <c r="I83" s="16">
        <f>165*G83</f>
        <v>660</v>
      </c>
      <c r="J83" s="16">
        <f t="shared" si="5"/>
        <v>739.59999999999991</v>
      </c>
    </row>
    <row r="84" spans="1:10" ht="16.5" x14ac:dyDescent="0.3">
      <c r="A84" s="8" t="s">
        <v>113</v>
      </c>
      <c r="B84" s="9">
        <v>46007</v>
      </c>
      <c r="C84" s="8" t="s">
        <v>11</v>
      </c>
      <c r="D84" s="8" t="s">
        <v>10</v>
      </c>
      <c r="E84" s="10" t="s">
        <v>27</v>
      </c>
      <c r="F84" s="11">
        <v>349.9</v>
      </c>
      <c r="G84" s="12">
        <v>13</v>
      </c>
      <c r="H84" s="11">
        <f t="shared" si="4"/>
        <v>4548.7</v>
      </c>
      <c r="I84" s="11">
        <f>165*G84</f>
        <v>2145</v>
      </c>
      <c r="J84" s="11">
        <f t="shared" si="5"/>
        <v>2403.6999999999998</v>
      </c>
    </row>
    <row r="85" spans="1:10" ht="16.5" x14ac:dyDescent="0.3">
      <c r="A85" s="13" t="s">
        <v>114</v>
      </c>
      <c r="B85" s="14">
        <v>45944</v>
      </c>
      <c r="C85" s="13" t="s">
        <v>15</v>
      </c>
      <c r="D85" s="13" t="s">
        <v>18</v>
      </c>
      <c r="E85" s="15" t="s">
        <v>36</v>
      </c>
      <c r="F85" s="16">
        <v>199.9</v>
      </c>
      <c r="G85" s="17">
        <v>15</v>
      </c>
      <c r="H85" s="16">
        <f t="shared" si="4"/>
        <v>2998.5</v>
      </c>
      <c r="I85" s="16">
        <f>98*G85</f>
        <v>1470</v>
      </c>
      <c r="J85" s="16">
        <f t="shared" si="5"/>
        <v>1528.5</v>
      </c>
    </row>
    <row r="86" spans="1:10" ht="16.5" x14ac:dyDescent="0.3">
      <c r="A86" s="8" t="s">
        <v>115</v>
      </c>
      <c r="B86" s="9">
        <v>45779</v>
      </c>
      <c r="C86" s="8" t="s">
        <v>11</v>
      </c>
      <c r="D86" s="8" t="s">
        <v>12</v>
      </c>
      <c r="E86" s="10" t="s">
        <v>34</v>
      </c>
      <c r="F86" s="11">
        <v>249.9</v>
      </c>
      <c r="G86" s="12">
        <v>1</v>
      </c>
      <c r="H86" s="11">
        <f t="shared" si="4"/>
        <v>249.9</v>
      </c>
      <c r="I86" s="11">
        <f>120*G86</f>
        <v>120</v>
      </c>
      <c r="J86" s="11">
        <f t="shared" si="5"/>
        <v>129.9</v>
      </c>
    </row>
    <row r="87" spans="1:10" ht="16.5" x14ac:dyDescent="0.3">
      <c r="A87" s="13" t="s">
        <v>116</v>
      </c>
      <c r="B87" s="14">
        <v>45749</v>
      </c>
      <c r="C87" s="13" t="s">
        <v>13</v>
      </c>
      <c r="D87" s="13" t="s">
        <v>16</v>
      </c>
      <c r="E87" s="15" t="s">
        <v>36</v>
      </c>
      <c r="F87" s="16">
        <v>199.9</v>
      </c>
      <c r="G87" s="17">
        <v>5</v>
      </c>
      <c r="H87" s="16">
        <f t="shared" si="4"/>
        <v>999.5</v>
      </c>
      <c r="I87" s="16">
        <f>98*G87</f>
        <v>490</v>
      </c>
      <c r="J87" s="16">
        <f t="shared" si="5"/>
        <v>509.5</v>
      </c>
    </row>
    <row r="88" spans="1:10" ht="16.5" x14ac:dyDescent="0.3">
      <c r="A88" s="8" t="s">
        <v>117</v>
      </c>
      <c r="B88" s="9">
        <v>45739</v>
      </c>
      <c r="C88" s="8" t="s">
        <v>9</v>
      </c>
      <c r="D88" s="8" t="s">
        <v>16</v>
      </c>
      <c r="E88" s="10" t="s">
        <v>31</v>
      </c>
      <c r="F88" s="11">
        <v>149.9</v>
      </c>
      <c r="G88" s="12">
        <v>14</v>
      </c>
      <c r="H88" s="11">
        <f t="shared" si="4"/>
        <v>2098.6</v>
      </c>
      <c r="I88" s="11">
        <f>75*G88</f>
        <v>1050</v>
      </c>
      <c r="J88" s="11">
        <f t="shared" si="5"/>
        <v>1048.5999999999999</v>
      </c>
    </row>
    <row r="89" spans="1:10" ht="16.5" x14ac:dyDescent="0.3">
      <c r="A89" s="13" t="s">
        <v>118</v>
      </c>
      <c r="B89" s="14">
        <v>45898</v>
      </c>
      <c r="C89" s="13" t="s">
        <v>11</v>
      </c>
      <c r="D89" s="13" t="s">
        <v>12</v>
      </c>
      <c r="E89" s="15" t="s">
        <v>34</v>
      </c>
      <c r="F89" s="16">
        <v>249.9</v>
      </c>
      <c r="G89" s="17">
        <v>6</v>
      </c>
      <c r="H89" s="16">
        <f t="shared" si="4"/>
        <v>1499.4</v>
      </c>
      <c r="I89" s="16">
        <f>120*G89</f>
        <v>720</v>
      </c>
      <c r="J89" s="16">
        <f t="shared" si="5"/>
        <v>779.40000000000009</v>
      </c>
    </row>
    <row r="90" spans="1:10" ht="16.5" x14ac:dyDescent="0.3">
      <c r="A90" s="8" t="s">
        <v>119</v>
      </c>
      <c r="B90" s="9">
        <v>45814</v>
      </c>
      <c r="C90" s="8" t="s">
        <v>11</v>
      </c>
      <c r="D90" s="8" t="s">
        <v>12</v>
      </c>
      <c r="E90" s="10" t="s">
        <v>31</v>
      </c>
      <c r="F90" s="11">
        <v>149.9</v>
      </c>
      <c r="G90" s="12">
        <v>11</v>
      </c>
      <c r="H90" s="11">
        <f t="shared" si="4"/>
        <v>1648.9</v>
      </c>
      <c r="I90" s="11">
        <f>75*G90</f>
        <v>825</v>
      </c>
      <c r="J90" s="11">
        <f t="shared" si="5"/>
        <v>823.90000000000009</v>
      </c>
    </row>
    <row r="91" spans="1:10" ht="16.5" x14ac:dyDescent="0.3">
      <c r="A91" s="13" t="s">
        <v>120</v>
      </c>
      <c r="B91" s="14">
        <v>45756</v>
      </c>
      <c r="C91" s="13" t="s">
        <v>15</v>
      </c>
      <c r="D91" s="13" t="s">
        <v>14</v>
      </c>
      <c r="E91" s="15" t="s">
        <v>27</v>
      </c>
      <c r="F91" s="16">
        <v>349.9</v>
      </c>
      <c r="G91" s="17">
        <v>14</v>
      </c>
      <c r="H91" s="16">
        <f t="shared" si="4"/>
        <v>4898.5999999999995</v>
      </c>
      <c r="I91" s="16">
        <f>165*G91</f>
        <v>2310</v>
      </c>
      <c r="J91" s="16">
        <f t="shared" si="5"/>
        <v>2588.5999999999995</v>
      </c>
    </row>
    <row r="92" spans="1:10" ht="16.5" x14ac:dyDescent="0.3">
      <c r="A92" s="8" t="s">
        <v>121</v>
      </c>
      <c r="B92" s="9">
        <v>45693</v>
      </c>
      <c r="C92" s="8" t="s">
        <v>13</v>
      </c>
      <c r="D92" s="8" t="s">
        <v>14</v>
      </c>
      <c r="E92" s="10" t="s">
        <v>29</v>
      </c>
      <c r="F92" s="11">
        <v>49.9</v>
      </c>
      <c r="G92" s="12">
        <v>7</v>
      </c>
      <c r="H92" s="11">
        <f t="shared" si="4"/>
        <v>349.3</v>
      </c>
      <c r="I92" s="11">
        <f>18*G92</f>
        <v>126</v>
      </c>
      <c r="J92" s="11">
        <f t="shared" si="5"/>
        <v>223.3</v>
      </c>
    </row>
    <row r="93" spans="1:10" ht="16.5" x14ac:dyDescent="0.3">
      <c r="A93" s="13" t="s">
        <v>122</v>
      </c>
      <c r="B93" s="14">
        <v>46005</v>
      </c>
      <c r="C93" s="13" t="s">
        <v>13</v>
      </c>
      <c r="D93" s="13" t="s">
        <v>10</v>
      </c>
      <c r="E93" s="15" t="s">
        <v>31</v>
      </c>
      <c r="F93" s="16">
        <v>149.9</v>
      </c>
      <c r="G93" s="17">
        <v>15</v>
      </c>
      <c r="H93" s="16">
        <f t="shared" si="4"/>
        <v>2248.5</v>
      </c>
      <c r="I93" s="16">
        <f>75*G93</f>
        <v>1125</v>
      </c>
      <c r="J93" s="16">
        <f t="shared" si="5"/>
        <v>1123.5</v>
      </c>
    </row>
    <row r="94" spans="1:10" ht="16.5" x14ac:dyDescent="0.3">
      <c r="A94" s="8" t="s">
        <v>123</v>
      </c>
      <c r="B94" s="9">
        <v>45791</v>
      </c>
      <c r="C94" s="8" t="s">
        <v>11</v>
      </c>
      <c r="D94" s="8" t="s">
        <v>18</v>
      </c>
      <c r="E94" s="10" t="s">
        <v>27</v>
      </c>
      <c r="F94" s="11">
        <v>349.9</v>
      </c>
      <c r="G94" s="12">
        <v>1</v>
      </c>
      <c r="H94" s="11">
        <f t="shared" si="4"/>
        <v>349.9</v>
      </c>
      <c r="I94" s="11">
        <f>165*G94</f>
        <v>165</v>
      </c>
      <c r="J94" s="11">
        <f t="shared" si="5"/>
        <v>184.89999999999998</v>
      </c>
    </row>
    <row r="95" spans="1:10" ht="16.5" x14ac:dyDescent="0.3">
      <c r="A95" s="13" t="s">
        <v>124</v>
      </c>
      <c r="B95" s="14">
        <v>45713</v>
      </c>
      <c r="C95" s="13" t="s">
        <v>15</v>
      </c>
      <c r="D95" s="13" t="s">
        <v>14</v>
      </c>
      <c r="E95" s="15" t="s">
        <v>27</v>
      </c>
      <c r="F95" s="16">
        <v>349.9</v>
      </c>
      <c r="G95" s="17">
        <v>7</v>
      </c>
      <c r="H95" s="16">
        <f t="shared" si="4"/>
        <v>2449.2999999999997</v>
      </c>
      <c r="I95" s="16">
        <f>165*G95</f>
        <v>1155</v>
      </c>
      <c r="J95" s="16">
        <f t="shared" si="5"/>
        <v>1294.2999999999997</v>
      </c>
    </row>
    <row r="96" spans="1:10" ht="16.5" x14ac:dyDescent="0.3">
      <c r="A96" s="8" t="s">
        <v>125</v>
      </c>
      <c r="B96" s="9">
        <v>45968</v>
      </c>
      <c r="C96" s="8" t="s">
        <v>9</v>
      </c>
      <c r="D96" s="8" t="s">
        <v>16</v>
      </c>
      <c r="E96" s="10" t="s">
        <v>29</v>
      </c>
      <c r="F96" s="11">
        <v>49.9</v>
      </c>
      <c r="G96" s="12">
        <v>4</v>
      </c>
      <c r="H96" s="11">
        <f t="shared" si="4"/>
        <v>199.6</v>
      </c>
      <c r="I96" s="11">
        <f>18*G96</f>
        <v>72</v>
      </c>
      <c r="J96" s="11">
        <f t="shared" si="5"/>
        <v>127.6</v>
      </c>
    </row>
    <row r="97" spans="1:10" ht="16.5" x14ac:dyDescent="0.3">
      <c r="A97" s="13" t="s">
        <v>126</v>
      </c>
      <c r="B97" s="14">
        <v>45788</v>
      </c>
      <c r="C97" s="13" t="s">
        <v>9</v>
      </c>
      <c r="D97" s="13" t="s">
        <v>16</v>
      </c>
      <c r="E97" s="15" t="s">
        <v>31</v>
      </c>
      <c r="F97" s="16">
        <v>149.9</v>
      </c>
      <c r="G97" s="17">
        <v>9</v>
      </c>
      <c r="H97" s="16">
        <f t="shared" si="4"/>
        <v>1349.1000000000001</v>
      </c>
      <c r="I97" s="16">
        <f>75*G97</f>
        <v>675</v>
      </c>
      <c r="J97" s="16">
        <f t="shared" si="5"/>
        <v>674.10000000000014</v>
      </c>
    </row>
    <row r="98" spans="1:10" ht="16.5" x14ac:dyDescent="0.3">
      <c r="A98" s="8" t="s">
        <v>127</v>
      </c>
      <c r="B98" s="9">
        <v>45933</v>
      </c>
      <c r="C98" s="8" t="s">
        <v>11</v>
      </c>
      <c r="D98" s="8" t="s">
        <v>14</v>
      </c>
      <c r="E98" s="10" t="s">
        <v>34</v>
      </c>
      <c r="F98" s="11">
        <v>249.9</v>
      </c>
      <c r="G98" s="12">
        <v>2</v>
      </c>
      <c r="H98" s="11">
        <f t="shared" ref="H98:H129" si="6">F98*G98</f>
        <v>499.8</v>
      </c>
      <c r="I98" s="11">
        <f>120*G98</f>
        <v>240</v>
      </c>
      <c r="J98" s="11">
        <f t="shared" ref="J98:J129" si="7">H98-I98</f>
        <v>259.8</v>
      </c>
    </row>
    <row r="99" spans="1:10" ht="16.5" x14ac:dyDescent="0.3">
      <c r="A99" s="13" t="s">
        <v>128</v>
      </c>
      <c r="B99" s="14">
        <v>45998</v>
      </c>
      <c r="C99" s="13" t="s">
        <v>13</v>
      </c>
      <c r="D99" s="13" t="s">
        <v>18</v>
      </c>
      <c r="E99" s="15" t="s">
        <v>27</v>
      </c>
      <c r="F99" s="16">
        <v>349.9</v>
      </c>
      <c r="G99" s="17">
        <v>11</v>
      </c>
      <c r="H99" s="16">
        <f t="shared" si="6"/>
        <v>3848.8999999999996</v>
      </c>
      <c r="I99" s="16">
        <f>165*G99</f>
        <v>1815</v>
      </c>
      <c r="J99" s="16">
        <f t="shared" si="7"/>
        <v>2033.8999999999996</v>
      </c>
    </row>
    <row r="100" spans="1:10" ht="16.5" x14ac:dyDescent="0.3">
      <c r="A100" s="8" t="s">
        <v>129</v>
      </c>
      <c r="B100" s="9">
        <v>45721</v>
      </c>
      <c r="C100" s="8" t="s">
        <v>13</v>
      </c>
      <c r="D100" s="8" t="s">
        <v>18</v>
      </c>
      <c r="E100" s="10" t="s">
        <v>27</v>
      </c>
      <c r="F100" s="11">
        <v>349.9</v>
      </c>
      <c r="G100" s="12">
        <v>11</v>
      </c>
      <c r="H100" s="11">
        <f t="shared" si="6"/>
        <v>3848.8999999999996</v>
      </c>
      <c r="I100" s="11">
        <f>165*G100</f>
        <v>1815</v>
      </c>
      <c r="J100" s="11">
        <f t="shared" si="7"/>
        <v>2033.8999999999996</v>
      </c>
    </row>
    <row r="101" spans="1:10" ht="16.5" x14ac:dyDescent="0.3">
      <c r="A101" s="13" t="s">
        <v>130</v>
      </c>
      <c r="B101" s="14">
        <v>45867</v>
      </c>
      <c r="C101" s="13" t="s">
        <v>13</v>
      </c>
      <c r="D101" s="13" t="s">
        <v>16</v>
      </c>
      <c r="E101" s="15" t="s">
        <v>27</v>
      </c>
      <c r="F101" s="16">
        <v>349.9</v>
      </c>
      <c r="G101" s="17">
        <v>9</v>
      </c>
      <c r="H101" s="16">
        <f t="shared" si="6"/>
        <v>3149.1</v>
      </c>
      <c r="I101" s="16">
        <f>165*G101</f>
        <v>1485</v>
      </c>
      <c r="J101" s="16">
        <f t="shared" si="7"/>
        <v>1664.1</v>
      </c>
    </row>
    <row r="102" spans="1:10" ht="16.5" x14ac:dyDescent="0.3">
      <c r="A102" s="8" t="s">
        <v>131</v>
      </c>
      <c r="B102" s="9">
        <v>45723</v>
      </c>
      <c r="C102" s="8" t="s">
        <v>11</v>
      </c>
      <c r="D102" s="8" t="s">
        <v>16</v>
      </c>
      <c r="E102" s="10" t="s">
        <v>34</v>
      </c>
      <c r="F102" s="11">
        <v>249.9</v>
      </c>
      <c r="G102" s="12">
        <v>11</v>
      </c>
      <c r="H102" s="11">
        <f t="shared" si="6"/>
        <v>2748.9</v>
      </c>
      <c r="I102" s="11">
        <f>120*G102</f>
        <v>1320</v>
      </c>
      <c r="J102" s="11">
        <f t="shared" si="7"/>
        <v>1428.9</v>
      </c>
    </row>
    <row r="103" spans="1:10" ht="16.5" x14ac:dyDescent="0.3">
      <c r="A103" s="13" t="s">
        <v>132</v>
      </c>
      <c r="B103" s="14">
        <v>45747</v>
      </c>
      <c r="C103" s="13" t="s">
        <v>13</v>
      </c>
      <c r="D103" s="13" t="s">
        <v>16</v>
      </c>
      <c r="E103" s="15" t="s">
        <v>29</v>
      </c>
      <c r="F103" s="16">
        <v>49.9</v>
      </c>
      <c r="G103" s="17">
        <v>14</v>
      </c>
      <c r="H103" s="16">
        <f t="shared" si="6"/>
        <v>698.6</v>
      </c>
      <c r="I103" s="16">
        <f>18*G103</f>
        <v>252</v>
      </c>
      <c r="J103" s="16">
        <f t="shared" si="7"/>
        <v>446.6</v>
      </c>
    </row>
    <row r="104" spans="1:10" ht="16.5" x14ac:dyDescent="0.3">
      <c r="A104" s="8" t="s">
        <v>133</v>
      </c>
      <c r="B104" s="9">
        <v>45658</v>
      </c>
      <c r="C104" s="8" t="s">
        <v>13</v>
      </c>
      <c r="D104" s="8" t="s">
        <v>14</v>
      </c>
      <c r="E104" s="10" t="s">
        <v>36</v>
      </c>
      <c r="F104" s="11">
        <v>199.9</v>
      </c>
      <c r="G104" s="12">
        <v>7</v>
      </c>
      <c r="H104" s="11">
        <f t="shared" si="6"/>
        <v>1399.3</v>
      </c>
      <c r="I104" s="11">
        <f>98*G104</f>
        <v>686</v>
      </c>
      <c r="J104" s="11">
        <f t="shared" si="7"/>
        <v>713.3</v>
      </c>
    </row>
    <row r="105" spans="1:10" ht="16.5" x14ac:dyDescent="0.3">
      <c r="A105" s="13" t="s">
        <v>134</v>
      </c>
      <c r="B105" s="14">
        <v>45954</v>
      </c>
      <c r="C105" s="13" t="s">
        <v>13</v>
      </c>
      <c r="D105" s="13" t="s">
        <v>16</v>
      </c>
      <c r="E105" s="15" t="s">
        <v>34</v>
      </c>
      <c r="F105" s="16">
        <v>249.9</v>
      </c>
      <c r="G105" s="17">
        <v>8</v>
      </c>
      <c r="H105" s="16">
        <f t="shared" si="6"/>
        <v>1999.2</v>
      </c>
      <c r="I105" s="16">
        <f>120*G105</f>
        <v>960</v>
      </c>
      <c r="J105" s="16">
        <f t="shared" si="7"/>
        <v>1039.2</v>
      </c>
    </row>
    <row r="106" spans="1:10" ht="16.5" x14ac:dyDescent="0.3">
      <c r="A106" s="8" t="s">
        <v>135</v>
      </c>
      <c r="B106" s="9">
        <v>46003</v>
      </c>
      <c r="C106" s="8" t="s">
        <v>11</v>
      </c>
      <c r="D106" s="8" t="s">
        <v>18</v>
      </c>
      <c r="E106" s="10" t="s">
        <v>34</v>
      </c>
      <c r="F106" s="11">
        <v>249.9</v>
      </c>
      <c r="G106" s="12">
        <v>13</v>
      </c>
      <c r="H106" s="11">
        <f t="shared" si="6"/>
        <v>3248.7000000000003</v>
      </c>
      <c r="I106" s="11">
        <f>120*G106</f>
        <v>1560</v>
      </c>
      <c r="J106" s="11">
        <f t="shared" si="7"/>
        <v>1688.7000000000003</v>
      </c>
    </row>
    <row r="107" spans="1:10" ht="16.5" x14ac:dyDescent="0.3">
      <c r="A107" s="13" t="s">
        <v>136</v>
      </c>
      <c r="B107" s="14">
        <v>45744</v>
      </c>
      <c r="C107" s="13" t="s">
        <v>9</v>
      </c>
      <c r="D107" s="13" t="s">
        <v>14</v>
      </c>
      <c r="E107" s="15" t="s">
        <v>29</v>
      </c>
      <c r="F107" s="16">
        <v>49.9</v>
      </c>
      <c r="G107" s="17">
        <v>11</v>
      </c>
      <c r="H107" s="16">
        <f t="shared" si="6"/>
        <v>548.9</v>
      </c>
      <c r="I107" s="16">
        <f>18*G107</f>
        <v>198</v>
      </c>
      <c r="J107" s="16">
        <f t="shared" si="7"/>
        <v>350.9</v>
      </c>
    </row>
    <row r="108" spans="1:10" ht="16.5" x14ac:dyDescent="0.3">
      <c r="A108" s="8" t="s">
        <v>137</v>
      </c>
      <c r="B108" s="9">
        <v>45982</v>
      </c>
      <c r="C108" s="8" t="s">
        <v>13</v>
      </c>
      <c r="D108" s="8" t="s">
        <v>10</v>
      </c>
      <c r="E108" s="10" t="s">
        <v>36</v>
      </c>
      <c r="F108" s="11">
        <v>199.9</v>
      </c>
      <c r="G108" s="12">
        <v>11</v>
      </c>
      <c r="H108" s="11">
        <f t="shared" si="6"/>
        <v>2198.9</v>
      </c>
      <c r="I108" s="11">
        <f>98*G108</f>
        <v>1078</v>
      </c>
      <c r="J108" s="11">
        <f t="shared" si="7"/>
        <v>1120.9000000000001</v>
      </c>
    </row>
    <row r="109" spans="1:10" ht="16.5" x14ac:dyDescent="0.3">
      <c r="A109" s="13" t="s">
        <v>138</v>
      </c>
      <c r="B109" s="14">
        <v>45816</v>
      </c>
      <c r="C109" s="13" t="s">
        <v>11</v>
      </c>
      <c r="D109" s="13" t="s">
        <v>12</v>
      </c>
      <c r="E109" s="15" t="s">
        <v>36</v>
      </c>
      <c r="F109" s="16">
        <v>199.9</v>
      </c>
      <c r="G109" s="17">
        <v>1</v>
      </c>
      <c r="H109" s="16">
        <f t="shared" si="6"/>
        <v>199.9</v>
      </c>
      <c r="I109" s="16">
        <f>98*G109</f>
        <v>98</v>
      </c>
      <c r="J109" s="16">
        <f t="shared" si="7"/>
        <v>101.9</v>
      </c>
    </row>
    <row r="110" spans="1:10" ht="16.5" x14ac:dyDescent="0.3">
      <c r="A110" s="8" t="s">
        <v>139</v>
      </c>
      <c r="B110" s="9">
        <v>45681</v>
      </c>
      <c r="C110" s="8" t="s">
        <v>11</v>
      </c>
      <c r="D110" s="8" t="s">
        <v>16</v>
      </c>
      <c r="E110" s="10" t="s">
        <v>29</v>
      </c>
      <c r="F110" s="11">
        <v>49.9</v>
      </c>
      <c r="G110" s="12">
        <v>14</v>
      </c>
      <c r="H110" s="11">
        <f t="shared" si="6"/>
        <v>698.6</v>
      </c>
      <c r="I110" s="11">
        <f>18*G110</f>
        <v>252</v>
      </c>
      <c r="J110" s="11">
        <f t="shared" si="7"/>
        <v>446.6</v>
      </c>
    </row>
    <row r="111" spans="1:10" ht="16.5" x14ac:dyDescent="0.3">
      <c r="A111" s="13" t="s">
        <v>140</v>
      </c>
      <c r="B111" s="14">
        <v>45695</v>
      </c>
      <c r="C111" s="13" t="s">
        <v>15</v>
      </c>
      <c r="D111" s="13" t="s">
        <v>16</v>
      </c>
      <c r="E111" s="15" t="s">
        <v>29</v>
      </c>
      <c r="F111" s="16">
        <v>49.9</v>
      </c>
      <c r="G111" s="17">
        <v>4</v>
      </c>
      <c r="H111" s="16">
        <f t="shared" si="6"/>
        <v>199.6</v>
      </c>
      <c r="I111" s="16">
        <f>18*G111</f>
        <v>72</v>
      </c>
      <c r="J111" s="16">
        <f t="shared" si="7"/>
        <v>127.6</v>
      </c>
    </row>
    <row r="112" spans="1:10" ht="16.5" x14ac:dyDescent="0.3">
      <c r="A112" s="8" t="s">
        <v>141</v>
      </c>
      <c r="B112" s="9">
        <v>46014</v>
      </c>
      <c r="C112" s="8" t="s">
        <v>15</v>
      </c>
      <c r="D112" s="8" t="s">
        <v>16</v>
      </c>
      <c r="E112" s="10" t="s">
        <v>34</v>
      </c>
      <c r="F112" s="11">
        <v>249.9</v>
      </c>
      <c r="G112" s="12">
        <v>4</v>
      </c>
      <c r="H112" s="11">
        <f t="shared" si="6"/>
        <v>999.6</v>
      </c>
      <c r="I112" s="11">
        <f>120*G112</f>
        <v>480</v>
      </c>
      <c r="J112" s="11">
        <f t="shared" si="7"/>
        <v>519.6</v>
      </c>
    </row>
    <row r="113" spans="1:10" ht="16.5" x14ac:dyDescent="0.3">
      <c r="A113" s="13" t="s">
        <v>142</v>
      </c>
      <c r="B113" s="14">
        <v>45733</v>
      </c>
      <c r="C113" s="13" t="s">
        <v>9</v>
      </c>
      <c r="D113" s="13" t="s">
        <v>10</v>
      </c>
      <c r="E113" s="15" t="s">
        <v>34</v>
      </c>
      <c r="F113" s="16">
        <v>249.9</v>
      </c>
      <c r="G113" s="17">
        <v>4</v>
      </c>
      <c r="H113" s="16">
        <f t="shared" si="6"/>
        <v>999.6</v>
      </c>
      <c r="I113" s="16">
        <f>120*G113</f>
        <v>480</v>
      </c>
      <c r="J113" s="16">
        <f t="shared" si="7"/>
        <v>519.6</v>
      </c>
    </row>
    <row r="114" spans="1:10" ht="16.5" x14ac:dyDescent="0.3">
      <c r="A114" s="8" t="s">
        <v>143</v>
      </c>
      <c r="B114" s="9">
        <v>45748</v>
      </c>
      <c r="C114" s="8" t="s">
        <v>15</v>
      </c>
      <c r="D114" s="8" t="s">
        <v>10</v>
      </c>
      <c r="E114" s="10" t="s">
        <v>29</v>
      </c>
      <c r="F114" s="11">
        <v>49.9</v>
      </c>
      <c r="G114" s="12">
        <v>4</v>
      </c>
      <c r="H114" s="11">
        <f t="shared" si="6"/>
        <v>199.6</v>
      </c>
      <c r="I114" s="11">
        <f>18*G114</f>
        <v>72</v>
      </c>
      <c r="J114" s="11">
        <f t="shared" si="7"/>
        <v>127.6</v>
      </c>
    </row>
    <row r="115" spans="1:10" ht="16.5" x14ac:dyDescent="0.3">
      <c r="A115" s="13" t="s">
        <v>144</v>
      </c>
      <c r="B115" s="14">
        <v>45720</v>
      </c>
      <c r="C115" s="13" t="s">
        <v>15</v>
      </c>
      <c r="D115" s="13" t="s">
        <v>12</v>
      </c>
      <c r="E115" s="15" t="s">
        <v>34</v>
      </c>
      <c r="F115" s="16">
        <v>249.9</v>
      </c>
      <c r="G115" s="17">
        <v>11</v>
      </c>
      <c r="H115" s="16">
        <f t="shared" si="6"/>
        <v>2748.9</v>
      </c>
      <c r="I115" s="16">
        <f>120*G115</f>
        <v>1320</v>
      </c>
      <c r="J115" s="16">
        <f t="shared" si="7"/>
        <v>1428.9</v>
      </c>
    </row>
    <row r="116" spans="1:10" ht="16.5" x14ac:dyDescent="0.3">
      <c r="A116" s="8" t="s">
        <v>145</v>
      </c>
      <c r="B116" s="9">
        <v>45929</v>
      </c>
      <c r="C116" s="8" t="s">
        <v>13</v>
      </c>
      <c r="D116" s="8" t="s">
        <v>16</v>
      </c>
      <c r="E116" s="10" t="s">
        <v>29</v>
      </c>
      <c r="F116" s="11">
        <v>49.9</v>
      </c>
      <c r="G116" s="12">
        <v>14</v>
      </c>
      <c r="H116" s="11">
        <f t="shared" si="6"/>
        <v>698.6</v>
      </c>
      <c r="I116" s="11">
        <f>18*G116</f>
        <v>252</v>
      </c>
      <c r="J116" s="11">
        <f t="shared" si="7"/>
        <v>446.6</v>
      </c>
    </row>
    <row r="117" spans="1:10" ht="16.5" x14ac:dyDescent="0.3">
      <c r="A117" s="13" t="s">
        <v>146</v>
      </c>
      <c r="B117" s="14">
        <v>45916</v>
      </c>
      <c r="C117" s="13" t="s">
        <v>15</v>
      </c>
      <c r="D117" s="13" t="s">
        <v>18</v>
      </c>
      <c r="E117" s="15" t="s">
        <v>34</v>
      </c>
      <c r="F117" s="16">
        <v>249.9</v>
      </c>
      <c r="G117" s="17">
        <v>15</v>
      </c>
      <c r="H117" s="16">
        <f t="shared" si="6"/>
        <v>3748.5</v>
      </c>
      <c r="I117" s="16">
        <f>120*G117</f>
        <v>1800</v>
      </c>
      <c r="J117" s="16">
        <f t="shared" si="7"/>
        <v>1948.5</v>
      </c>
    </row>
    <row r="118" spans="1:10" ht="16.5" x14ac:dyDescent="0.3">
      <c r="A118" s="8" t="s">
        <v>147</v>
      </c>
      <c r="B118" s="9">
        <v>45739</v>
      </c>
      <c r="C118" s="8" t="s">
        <v>15</v>
      </c>
      <c r="D118" s="8" t="s">
        <v>16</v>
      </c>
      <c r="E118" s="10" t="s">
        <v>27</v>
      </c>
      <c r="F118" s="11">
        <v>349.9</v>
      </c>
      <c r="G118" s="12">
        <v>13</v>
      </c>
      <c r="H118" s="11">
        <f t="shared" si="6"/>
        <v>4548.7</v>
      </c>
      <c r="I118" s="11">
        <f>165*G118</f>
        <v>2145</v>
      </c>
      <c r="J118" s="11">
        <f t="shared" si="7"/>
        <v>2403.6999999999998</v>
      </c>
    </row>
    <row r="119" spans="1:10" ht="16.5" x14ac:dyDescent="0.3">
      <c r="A119" s="13" t="s">
        <v>148</v>
      </c>
      <c r="B119" s="14">
        <v>45784</v>
      </c>
      <c r="C119" s="13" t="s">
        <v>13</v>
      </c>
      <c r="D119" s="13" t="s">
        <v>18</v>
      </c>
      <c r="E119" s="15" t="s">
        <v>34</v>
      </c>
      <c r="F119" s="16">
        <v>249.9</v>
      </c>
      <c r="G119" s="17">
        <v>11</v>
      </c>
      <c r="H119" s="16">
        <f t="shared" si="6"/>
        <v>2748.9</v>
      </c>
      <c r="I119" s="16">
        <f>120*G119</f>
        <v>1320</v>
      </c>
      <c r="J119" s="16">
        <f t="shared" si="7"/>
        <v>1428.9</v>
      </c>
    </row>
    <row r="120" spans="1:10" ht="16.5" x14ac:dyDescent="0.3">
      <c r="A120" s="8" t="s">
        <v>149</v>
      </c>
      <c r="B120" s="9">
        <v>45780</v>
      </c>
      <c r="C120" s="8" t="s">
        <v>13</v>
      </c>
      <c r="D120" s="8" t="s">
        <v>16</v>
      </c>
      <c r="E120" s="10" t="s">
        <v>31</v>
      </c>
      <c r="F120" s="11">
        <v>149.9</v>
      </c>
      <c r="G120" s="12">
        <v>12</v>
      </c>
      <c r="H120" s="11">
        <f t="shared" si="6"/>
        <v>1798.8000000000002</v>
      </c>
      <c r="I120" s="11">
        <f>75*G120</f>
        <v>900</v>
      </c>
      <c r="J120" s="11">
        <f t="shared" si="7"/>
        <v>898.80000000000018</v>
      </c>
    </row>
    <row r="121" spans="1:10" ht="16.5" x14ac:dyDescent="0.3">
      <c r="A121" s="13" t="s">
        <v>150</v>
      </c>
      <c r="B121" s="14">
        <v>45804</v>
      </c>
      <c r="C121" s="13" t="s">
        <v>11</v>
      </c>
      <c r="D121" s="13" t="s">
        <v>14</v>
      </c>
      <c r="E121" s="15" t="s">
        <v>27</v>
      </c>
      <c r="F121" s="16">
        <v>349.9</v>
      </c>
      <c r="G121" s="17">
        <v>6</v>
      </c>
      <c r="H121" s="16">
        <f t="shared" si="6"/>
        <v>2099.3999999999996</v>
      </c>
      <c r="I121" s="16">
        <f>165*G121</f>
        <v>990</v>
      </c>
      <c r="J121" s="16">
        <f t="shared" si="7"/>
        <v>1109.3999999999996</v>
      </c>
    </row>
    <row r="122" spans="1:10" ht="16.5" x14ac:dyDescent="0.3">
      <c r="A122" s="8" t="s">
        <v>151</v>
      </c>
      <c r="B122" s="9">
        <v>45934</v>
      </c>
      <c r="C122" s="8" t="s">
        <v>9</v>
      </c>
      <c r="D122" s="8" t="s">
        <v>12</v>
      </c>
      <c r="E122" s="10" t="s">
        <v>36</v>
      </c>
      <c r="F122" s="11">
        <v>199.9</v>
      </c>
      <c r="G122" s="12">
        <v>4</v>
      </c>
      <c r="H122" s="11">
        <f t="shared" si="6"/>
        <v>799.6</v>
      </c>
      <c r="I122" s="11">
        <f>98*G122</f>
        <v>392</v>
      </c>
      <c r="J122" s="11">
        <f t="shared" si="7"/>
        <v>407.6</v>
      </c>
    </row>
    <row r="123" spans="1:10" ht="16.5" x14ac:dyDescent="0.3">
      <c r="A123" s="13" t="s">
        <v>152</v>
      </c>
      <c r="B123" s="14">
        <v>45854</v>
      </c>
      <c r="C123" s="13" t="s">
        <v>11</v>
      </c>
      <c r="D123" s="13" t="s">
        <v>12</v>
      </c>
      <c r="E123" s="15" t="s">
        <v>31</v>
      </c>
      <c r="F123" s="16">
        <v>149.9</v>
      </c>
      <c r="G123" s="17">
        <v>7</v>
      </c>
      <c r="H123" s="16">
        <f t="shared" si="6"/>
        <v>1049.3</v>
      </c>
      <c r="I123" s="16">
        <f>75*G123</f>
        <v>525</v>
      </c>
      <c r="J123" s="16">
        <f t="shared" si="7"/>
        <v>524.29999999999995</v>
      </c>
    </row>
    <row r="124" spans="1:10" ht="16.5" x14ac:dyDescent="0.3">
      <c r="A124" s="8" t="s">
        <v>153</v>
      </c>
      <c r="B124" s="9">
        <v>45866</v>
      </c>
      <c r="C124" s="8" t="s">
        <v>13</v>
      </c>
      <c r="D124" s="8" t="s">
        <v>18</v>
      </c>
      <c r="E124" s="10" t="s">
        <v>34</v>
      </c>
      <c r="F124" s="11">
        <v>249.9</v>
      </c>
      <c r="G124" s="12">
        <v>7</v>
      </c>
      <c r="H124" s="11">
        <f t="shared" si="6"/>
        <v>1749.3</v>
      </c>
      <c r="I124" s="11">
        <f>120*G124</f>
        <v>840</v>
      </c>
      <c r="J124" s="11">
        <f t="shared" si="7"/>
        <v>909.3</v>
      </c>
    </row>
    <row r="125" spans="1:10" ht="16.5" x14ac:dyDescent="0.3">
      <c r="A125" s="13" t="s">
        <v>154</v>
      </c>
      <c r="B125" s="14">
        <v>45689</v>
      </c>
      <c r="C125" s="13" t="s">
        <v>11</v>
      </c>
      <c r="D125" s="13" t="s">
        <v>16</v>
      </c>
      <c r="E125" s="15" t="s">
        <v>34</v>
      </c>
      <c r="F125" s="16">
        <v>249.9</v>
      </c>
      <c r="G125" s="17">
        <v>15</v>
      </c>
      <c r="H125" s="16">
        <f t="shared" si="6"/>
        <v>3748.5</v>
      </c>
      <c r="I125" s="16">
        <f>120*G125</f>
        <v>1800</v>
      </c>
      <c r="J125" s="16">
        <f t="shared" si="7"/>
        <v>1948.5</v>
      </c>
    </row>
    <row r="126" spans="1:10" ht="16.5" x14ac:dyDescent="0.3">
      <c r="A126" s="8" t="s">
        <v>155</v>
      </c>
      <c r="B126" s="9">
        <v>45957</v>
      </c>
      <c r="C126" s="8" t="s">
        <v>9</v>
      </c>
      <c r="D126" s="8" t="s">
        <v>18</v>
      </c>
      <c r="E126" s="10" t="s">
        <v>34</v>
      </c>
      <c r="F126" s="11">
        <v>249.9</v>
      </c>
      <c r="G126" s="12">
        <v>8</v>
      </c>
      <c r="H126" s="11">
        <f t="shared" si="6"/>
        <v>1999.2</v>
      </c>
      <c r="I126" s="11">
        <f>120*G126</f>
        <v>960</v>
      </c>
      <c r="J126" s="11">
        <f t="shared" si="7"/>
        <v>1039.2</v>
      </c>
    </row>
    <row r="127" spans="1:10" ht="16.5" x14ac:dyDescent="0.3">
      <c r="A127" s="13" t="s">
        <v>156</v>
      </c>
      <c r="B127" s="14">
        <v>45661</v>
      </c>
      <c r="C127" s="13" t="s">
        <v>13</v>
      </c>
      <c r="D127" s="13" t="s">
        <v>14</v>
      </c>
      <c r="E127" s="15" t="s">
        <v>34</v>
      </c>
      <c r="F127" s="16">
        <v>249.9</v>
      </c>
      <c r="G127" s="17">
        <v>14</v>
      </c>
      <c r="H127" s="16">
        <f t="shared" si="6"/>
        <v>3498.6</v>
      </c>
      <c r="I127" s="16">
        <f>120*G127</f>
        <v>1680</v>
      </c>
      <c r="J127" s="16">
        <f t="shared" si="7"/>
        <v>1818.6</v>
      </c>
    </row>
    <row r="128" spans="1:10" ht="16.5" x14ac:dyDescent="0.3">
      <c r="A128" s="8" t="s">
        <v>157</v>
      </c>
      <c r="B128" s="9">
        <v>45872</v>
      </c>
      <c r="C128" s="8" t="s">
        <v>11</v>
      </c>
      <c r="D128" s="8" t="s">
        <v>16</v>
      </c>
      <c r="E128" s="10" t="s">
        <v>36</v>
      </c>
      <c r="F128" s="11">
        <v>199.9</v>
      </c>
      <c r="G128" s="12">
        <v>5</v>
      </c>
      <c r="H128" s="11">
        <f t="shared" si="6"/>
        <v>999.5</v>
      </c>
      <c r="I128" s="11">
        <f>98*G128</f>
        <v>490</v>
      </c>
      <c r="J128" s="11">
        <f t="shared" si="7"/>
        <v>509.5</v>
      </c>
    </row>
    <row r="129" spans="1:10" ht="16.5" x14ac:dyDescent="0.3">
      <c r="A129" s="13" t="s">
        <v>158</v>
      </c>
      <c r="B129" s="14">
        <v>45881</v>
      </c>
      <c r="C129" s="13" t="s">
        <v>15</v>
      </c>
      <c r="D129" s="13" t="s">
        <v>10</v>
      </c>
      <c r="E129" s="15" t="s">
        <v>34</v>
      </c>
      <c r="F129" s="16">
        <v>249.9</v>
      </c>
      <c r="G129" s="17">
        <v>6</v>
      </c>
      <c r="H129" s="16">
        <f t="shared" si="6"/>
        <v>1499.4</v>
      </c>
      <c r="I129" s="16">
        <f>120*G129</f>
        <v>720</v>
      </c>
      <c r="J129" s="16">
        <f t="shared" si="7"/>
        <v>779.40000000000009</v>
      </c>
    </row>
    <row r="130" spans="1:10" ht="16.5" x14ac:dyDescent="0.3">
      <c r="A130" s="8" t="s">
        <v>159</v>
      </c>
      <c r="B130" s="9">
        <v>46000</v>
      </c>
      <c r="C130" s="8" t="s">
        <v>15</v>
      </c>
      <c r="D130" s="8" t="s">
        <v>12</v>
      </c>
      <c r="E130" s="10" t="s">
        <v>34</v>
      </c>
      <c r="F130" s="11">
        <v>249.9</v>
      </c>
      <c r="G130" s="12">
        <v>15</v>
      </c>
      <c r="H130" s="11">
        <f t="shared" ref="H130:H161" si="8">F130*G130</f>
        <v>3748.5</v>
      </c>
      <c r="I130" s="11">
        <f>120*G130</f>
        <v>1800</v>
      </c>
      <c r="J130" s="11">
        <f t="shared" ref="J130:J161" si="9">H130-I130</f>
        <v>1948.5</v>
      </c>
    </row>
    <row r="131" spans="1:10" ht="16.5" x14ac:dyDescent="0.3">
      <c r="A131" s="13" t="s">
        <v>160</v>
      </c>
      <c r="B131" s="14">
        <v>45723</v>
      </c>
      <c r="C131" s="13" t="s">
        <v>9</v>
      </c>
      <c r="D131" s="13" t="s">
        <v>16</v>
      </c>
      <c r="E131" s="15" t="s">
        <v>29</v>
      </c>
      <c r="F131" s="16">
        <v>49.9</v>
      </c>
      <c r="G131" s="17">
        <v>10</v>
      </c>
      <c r="H131" s="16">
        <f t="shared" si="8"/>
        <v>499</v>
      </c>
      <c r="I131" s="16">
        <f>18*G131</f>
        <v>180</v>
      </c>
      <c r="J131" s="16">
        <f t="shared" si="9"/>
        <v>319</v>
      </c>
    </row>
    <row r="132" spans="1:10" ht="16.5" x14ac:dyDescent="0.3">
      <c r="A132" s="8" t="s">
        <v>161</v>
      </c>
      <c r="B132" s="9">
        <v>45997</v>
      </c>
      <c r="C132" s="8" t="s">
        <v>9</v>
      </c>
      <c r="D132" s="8" t="s">
        <v>10</v>
      </c>
      <c r="E132" s="10" t="s">
        <v>34</v>
      </c>
      <c r="F132" s="11">
        <v>249.9</v>
      </c>
      <c r="G132" s="12">
        <v>3</v>
      </c>
      <c r="H132" s="11">
        <f t="shared" si="8"/>
        <v>749.7</v>
      </c>
      <c r="I132" s="11">
        <f>120*G132</f>
        <v>360</v>
      </c>
      <c r="J132" s="11">
        <f t="shared" si="9"/>
        <v>389.70000000000005</v>
      </c>
    </row>
    <row r="133" spans="1:10" ht="16.5" x14ac:dyDescent="0.3">
      <c r="A133" s="13" t="s">
        <v>162</v>
      </c>
      <c r="B133" s="14">
        <v>45894</v>
      </c>
      <c r="C133" s="13" t="s">
        <v>11</v>
      </c>
      <c r="D133" s="13" t="s">
        <v>10</v>
      </c>
      <c r="E133" s="15" t="s">
        <v>27</v>
      </c>
      <c r="F133" s="16">
        <v>349.9</v>
      </c>
      <c r="G133" s="17">
        <v>7</v>
      </c>
      <c r="H133" s="16">
        <f t="shared" si="8"/>
        <v>2449.2999999999997</v>
      </c>
      <c r="I133" s="16">
        <f>165*G133</f>
        <v>1155</v>
      </c>
      <c r="J133" s="16">
        <f t="shared" si="9"/>
        <v>1294.2999999999997</v>
      </c>
    </row>
    <row r="134" spans="1:10" ht="16.5" x14ac:dyDescent="0.3">
      <c r="A134" s="8" t="s">
        <v>163</v>
      </c>
      <c r="B134" s="9">
        <v>45825</v>
      </c>
      <c r="C134" s="8" t="s">
        <v>11</v>
      </c>
      <c r="D134" s="8" t="s">
        <v>16</v>
      </c>
      <c r="E134" s="10" t="s">
        <v>27</v>
      </c>
      <c r="F134" s="11">
        <v>349.9</v>
      </c>
      <c r="G134" s="12">
        <v>6</v>
      </c>
      <c r="H134" s="11">
        <f t="shared" si="8"/>
        <v>2099.3999999999996</v>
      </c>
      <c r="I134" s="11">
        <f>165*G134</f>
        <v>990</v>
      </c>
      <c r="J134" s="11">
        <f t="shared" si="9"/>
        <v>1109.3999999999996</v>
      </c>
    </row>
    <row r="135" spans="1:10" ht="16.5" x14ac:dyDescent="0.3">
      <c r="A135" s="13" t="s">
        <v>164</v>
      </c>
      <c r="B135" s="14">
        <v>45852</v>
      </c>
      <c r="C135" s="13" t="s">
        <v>13</v>
      </c>
      <c r="D135" s="13" t="s">
        <v>16</v>
      </c>
      <c r="E135" s="15" t="s">
        <v>27</v>
      </c>
      <c r="F135" s="16">
        <v>349.9</v>
      </c>
      <c r="G135" s="17">
        <v>14</v>
      </c>
      <c r="H135" s="16">
        <f t="shared" si="8"/>
        <v>4898.5999999999995</v>
      </c>
      <c r="I135" s="16">
        <f>165*G135</f>
        <v>2310</v>
      </c>
      <c r="J135" s="16">
        <f t="shared" si="9"/>
        <v>2588.5999999999995</v>
      </c>
    </row>
    <row r="136" spans="1:10" ht="16.5" x14ac:dyDescent="0.3">
      <c r="A136" s="8" t="s">
        <v>165</v>
      </c>
      <c r="B136" s="9">
        <v>45699</v>
      </c>
      <c r="C136" s="8" t="s">
        <v>15</v>
      </c>
      <c r="D136" s="8" t="s">
        <v>10</v>
      </c>
      <c r="E136" s="10" t="s">
        <v>29</v>
      </c>
      <c r="F136" s="11">
        <v>49.9</v>
      </c>
      <c r="G136" s="12">
        <v>1</v>
      </c>
      <c r="H136" s="11">
        <f t="shared" si="8"/>
        <v>49.9</v>
      </c>
      <c r="I136" s="11">
        <f>18*G136</f>
        <v>18</v>
      </c>
      <c r="J136" s="11">
        <f t="shared" si="9"/>
        <v>31.9</v>
      </c>
    </row>
    <row r="137" spans="1:10" ht="16.5" x14ac:dyDescent="0.3">
      <c r="A137" s="13" t="s">
        <v>166</v>
      </c>
      <c r="B137" s="14">
        <v>45837</v>
      </c>
      <c r="C137" s="13" t="s">
        <v>11</v>
      </c>
      <c r="D137" s="13" t="s">
        <v>10</v>
      </c>
      <c r="E137" s="15" t="s">
        <v>31</v>
      </c>
      <c r="F137" s="16">
        <v>149.9</v>
      </c>
      <c r="G137" s="17">
        <v>13</v>
      </c>
      <c r="H137" s="16">
        <f t="shared" si="8"/>
        <v>1948.7</v>
      </c>
      <c r="I137" s="16">
        <f>75*G137</f>
        <v>975</v>
      </c>
      <c r="J137" s="16">
        <f t="shared" si="9"/>
        <v>973.7</v>
      </c>
    </row>
    <row r="138" spans="1:10" ht="16.5" x14ac:dyDescent="0.3">
      <c r="A138" s="8" t="s">
        <v>167</v>
      </c>
      <c r="B138" s="9">
        <v>45673</v>
      </c>
      <c r="C138" s="8" t="s">
        <v>11</v>
      </c>
      <c r="D138" s="8" t="s">
        <v>12</v>
      </c>
      <c r="E138" s="10" t="s">
        <v>31</v>
      </c>
      <c r="F138" s="11">
        <v>149.9</v>
      </c>
      <c r="G138" s="12">
        <v>10</v>
      </c>
      <c r="H138" s="11">
        <f t="shared" si="8"/>
        <v>1499</v>
      </c>
      <c r="I138" s="11">
        <f>75*G138</f>
        <v>750</v>
      </c>
      <c r="J138" s="11">
        <f t="shared" si="9"/>
        <v>749</v>
      </c>
    </row>
    <row r="139" spans="1:10" ht="16.5" x14ac:dyDescent="0.3">
      <c r="A139" s="13" t="s">
        <v>168</v>
      </c>
      <c r="B139" s="14">
        <v>45736</v>
      </c>
      <c r="C139" s="13" t="s">
        <v>11</v>
      </c>
      <c r="D139" s="13" t="s">
        <v>12</v>
      </c>
      <c r="E139" s="15" t="s">
        <v>34</v>
      </c>
      <c r="F139" s="16">
        <v>249.9</v>
      </c>
      <c r="G139" s="17">
        <v>11</v>
      </c>
      <c r="H139" s="16">
        <f t="shared" si="8"/>
        <v>2748.9</v>
      </c>
      <c r="I139" s="16">
        <f>120*G139</f>
        <v>1320</v>
      </c>
      <c r="J139" s="16">
        <f t="shared" si="9"/>
        <v>1428.9</v>
      </c>
    </row>
    <row r="140" spans="1:10" ht="16.5" x14ac:dyDescent="0.3">
      <c r="A140" s="8" t="s">
        <v>169</v>
      </c>
      <c r="B140" s="9">
        <v>45716</v>
      </c>
      <c r="C140" s="8" t="s">
        <v>11</v>
      </c>
      <c r="D140" s="8" t="s">
        <v>16</v>
      </c>
      <c r="E140" s="10" t="s">
        <v>27</v>
      </c>
      <c r="F140" s="11">
        <v>349.9</v>
      </c>
      <c r="G140" s="12">
        <v>13</v>
      </c>
      <c r="H140" s="11">
        <f t="shared" si="8"/>
        <v>4548.7</v>
      </c>
      <c r="I140" s="11">
        <f>165*G140</f>
        <v>2145</v>
      </c>
      <c r="J140" s="11">
        <f t="shared" si="9"/>
        <v>2403.6999999999998</v>
      </c>
    </row>
    <row r="141" spans="1:10" ht="16.5" x14ac:dyDescent="0.3">
      <c r="A141" s="13" t="s">
        <v>170</v>
      </c>
      <c r="B141" s="14">
        <v>45846</v>
      </c>
      <c r="C141" s="13" t="s">
        <v>11</v>
      </c>
      <c r="D141" s="13" t="s">
        <v>18</v>
      </c>
      <c r="E141" s="15" t="s">
        <v>29</v>
      </c>
      <c r="F141" s="16">
        <v>49.9</v>
      </c>
      <c r="G141" s="17">
        <v>12</v>
      </c>
      <c r="H141" s="16">
        <f t="shared" si="8"/>
        <v>598.79999999999995</v>
      </c>
      <c r="I141" s="16">
        <f>18*G141</f>
        <v>216</v>
      </c>
      <c r="J141" s="16">
        <f t="shared" si="9"/>
        <v>382.79999999999995</v>
      </c>
    </row>
    <row r="142" spans="1:10" ht="16.5" x14ac:dyDescent="0.3">
      <c r="A142" s="8" t="s">
        <v>171</v>
      </c>
      <c r="B142" s="9">
        <v>45716</v>
      </c>
      <c r="C142" s="8" t="s">
        <v>11</v>
      </c>
      <c r="D142" s="8" t="s">
        <v>14</v>
      </c>
      <c r="E142" s="10" t="s">
        <v>31</v>
      </c>
      <c r="F142" s="11">
        <v>149.9</v>
      </c>
      <c r="G142" s="12">
        <v>10</v>
      </c>
      <c r="H142" s="11">
        <f t="shared" si="8"/>
        <v>1499</v>
      </c>
      <c r="I142" s="11">
        <f>75*G142</f>
        <v>750</v>
      </c>
      <c r="J142" s="11">
        <f t="shared" si="9"/>
        <v>749</v>
      </c>
    </row>
    <row r="143" spans="1:10" ht="16.5" x14ac:dyDescent="0.3">
      <c r="A143" s="13" t="s">
        <v>172</v>
      </c>
      <c r="B143" s="14">
        <v>45671</v>
      </c>
      <c r="C143" s="13" t="s">
        <v>13</v>
      </c>
      <c r="D143" s="13" t="s">
        <v>18</v>
      </c>
      <c r="E143" s="15" t="s">
        <v>34</v>
      </c>
      <c r="F143" s="16">
        <v>249.9</v>
      </c>
      <c r="G143" s="17">
        <v>7</v>
      </c>
      <c r="H143" s="16">
        <f t="shared" si="8"/>
        <v>1749.3</v>
      </c>
      <c r="I143" s="16">
        <f>120*G143</f>
        <v>840</v>
      </c>
      <c r="J143" s="16">
        <f t="shared" si="9"/>
        <v>909.3</v>
      </c>
    </row>
    <row r="144" spans="1:10" ht="16.5" x14ac:dyDescent="0.3">
      <c r="A144" s="8" t="s">
        <v>173</v>
      </c>
      <c r="B144" s="9">
        <v>45759</v>
      </c>
      <c r="C144" s="8" t="s">
        <v>9</v>
      </c>
      <c r="D144" s="8" t="s">
        <v>18</v>
      </c>
      <c r="E144" s="10" t="s">
        <v>36</v>
      </c>
      <c r="F144" s="11">
        <v>199.9</v>
      </c>
      <c r="G144" s="12">
        <v>2</v>
      </c>
      <c r="H144" s="11">
        <f t="shared" si="8"/>
        <v>399.8</v>
      </c>
      <c r="I144" s="11">
        <f>98*G144</f>
        <v>196</v>
      </c>
      <c r="J144" s="11">
        <f t="shared" si="9"/>
        <v>203.8</v>
      </c>
    </row>
    <row r="145" spans="1:10" ht="16.5" x14ac:dyDescent="0.3">
      <c r="A145" s="13" t="s">
        <v>174</v>
      </c>
      <c r="B145" s="14">
        <v>46014</v>
      </c>
      <c r="C145" s="13" t="s">
        <v>13</v>
      </c>
      <c r="D145" s="13" t="s">
        <v>18</v>
      </c>
      <c r="E145" s="15" t="s">
        <v>31</v>
      </c>
      <c r="F145" s="16">
        <v>149.9</v>
      </c>
      <c r="G145" s="17">
        <v>13</v>
      </c>
      <c r="H145" s="16">
        <f t="shared" si="8"/>
        <v>1948.7</v>
      </c>
      <c r="I145" s="16">
        <f>75*G145</f>
        <v>975</v>
      </c>
      <c r="J145" s="16">
        <f t="shared" si="9"/>
        <v>973.7</v>
      </c>
    </row>
    <row r="146" spans="1:10" ht="16.5" x14ac:dyDescent="0.3">
      <c r="A146" s="8" t="s">
        <v>175</v>
      </c>
      <c r="B146" s="9">
        <v>45947</v>
      </c>
      <c r="C146" s="8" t="s">
        <v>9</v>
      </c>
      <c r="D146" s="8" t="s">
        <v>14</v>
      </c>
      <c r="E146" s="10" t="s">
        <v>29</v>
      </c>
      <c r="F146" s="11">
        <v>49.9</v>
      </c>
      <c r="G146" s="12">
        <v>7</v>
      </c>
      <c r="H146" s="11">
        <f t="shared" si="8"/>
        <v>349.3</v>
      </c>
      <c r="I146" s="11">
        <f>18*G146</f>
        <v>126</v>
      </c>
      <c r="J146" s="11">
        <f t="shared" si="9"/>
        <v>223.3</v>
      </c>
    </row>
    <row r="147" spans="1:10" ht="16.5" x14ac:dyDescent="0.3">
      <c r="A147" s="13" t="s">
        <v>176</v>
      </c>
      <c r="B147" s="14">
        <v>45996</v>
      </c>
      <c r="C147" s="13" t="s">
        <v>13</v>
      </c>
      <c r="D147" s="13" t="s">
        <v>10</v>
      </c>
      <c r="E147" s="15" t="s">
        <v>29</v>
      </c>
      <c r="F147" s="16">
        <v>49.9</v>
      </c>
      <c r="G147" s="17">
        <v>11</v>
      </c>
      <c r="H147" s="16">
        <f t="shared" si="8"/>
        <v>548.9</v>
      </c>
      <c r="I147" s="16">
        <f>18*G147</f>
        <v>198</v>
      </c>
      <c r="J147" s="16">
        <f t="shared" si="9"/>
        <v>350.9</v>
      </c>
    </row>
    <row r="148" spans="1:10" ht="16.5" x14ac:dyDescent="0.3">
      <c r="A148" s="8" t="s">
        <v>177</v>
      </c>
      <c r="B148" s="9">
        <v>45832</v>
      </c>
      <c r="C148" s="8" t="s">
        <v>9</v>
      </c>
      <c r="D148" s="8" t="s">
        <v>16</v>
      </c>
      <c r="E148" s="10" t="s">
        <v>34</v>
      </c>
      <c r="F148" s="11">
        <v>249.9</v>
      </c>
      <c r="G148" s="12">
        <v>2</v>
      </c>
      <c r="H148" s="11">
        <f t="shared" si="8"/>
        <v>499.8</v>
      </c>
      <c r="I148" s="11">
        <f>120*G148</f>
        <v>240</v>
      </c>
      <c r="J148" s="11">
        <f t="shared" si="9"/>
        <v>259.8</v>
      </c>
    </row>
    <row r="149" spans="1:10" ht="16.5" x14ac:dyDescent="0.3">
      <c r="A149" s="13" t="s">
        <v>178</v>
      </c>
      <c r="B149" s="14">
        <v>45879</v>
      </c>
      <c r="C149" s="13" t="s">
        <v>13</v>
      </c>
      <c r="D149" s="13" t="s">
        <v>16</v>
      </c>
      <c r="E149" s="15" t="s">
        <v>36</v>
      </c>
      <c r="F149" s="16">
        <v>199.9</v>
      </c>
      <c r="G149" s="17">
        <v>7</v>
      </c>
      <c r="H149" s="16">
        <f t="shared" si="8"/>
        <v>1399.3</v>
      </c>
      <c r="I149" s="16">
        <f>98*G149</f>
        <v>686</v>
      </c>
      <c r="J149" s="16">
        <f t="shared" si="9"/>
        <v>713.3</v>
      </c>
    </row>
    <row r="150" spans="1:10" ht="16.5" x14ac:dyDescent="0.3">
      <c r="A150" s="8" t="s">
        <v>179</v>
      </c>
      <c r="B150" s="9">
        <v>45748</v>
      </c>
      <c r="C150" s="8" t="s">
        <v>13</v>
      </c>
      <c r="D150" s="8" t="s">
        <v>18</v>
      </c>
      <c r="E150" s="10" t="s">
        <v>29</v>
      </c>
      <c r="F150" s="11">
        <v>49.9</v>
      </c>
      <c r="G150" s="12">
        <v>13</v>
      </c>
      <c r="H150" s="11">
        <f t="shared" si="8"/>
        <v>648.69999999999993</v>
      </c>
      <c r="I150" s="11">
        <f>18*G150</f>
        <v>234</v>
      </c>
      <c r="J150" s="11">
        <f t="shared" si="9"/>
        <v>414.69999999999993</v>
      </c>
    </row>
    <row r="151" spans="1:10" ht="16.5" x14ac:dyDescent="0.3">
      <c r="A151" s="13" t="s">
        <v>180</v>
      </c>
      <c r="B151" s="14">
        <v>45905</v>
      </c>
      <c r="C151" s="13" t="s">
        <v>15</v>
      </c>
      <c r="D151" s="13" t="s">
        <v>16</v>
      </c>
      <c r="E151" s="15" t="s">
        <v>29</v>
      </c>
      <c r="F151" s="16">
        <v>49.9</v>
      </c>
      <c r="G151" s="17">
        <v>5</v>
      </c>
      <c r="H151" s="16">
        <f t="shared" si="8"/>
        <v>249.5</v>
      </c>
      <c r="I151" s="16">
        <f>18*G151</f>
        <v>90</v>
      </c>
      <c r="J151" s="16">
        <f t="shared" si="9"/>
        <v>159.5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Dashboard</vt:lpstr>
      <vt:lpstr>Dados de 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de Oliveira Ribeiro</cp:lastModifiedBy>
  <dcterms:created xsi:type="dcterms:W3CDTF">2026-05-19T17:46:20Z</dcterms:created>
  <dcterms:modified xsi:type="dcterms:W3CDTF">2026-05-19T17:51:07Z</dcterms:modified>
</cp:coreProperties>
</file>